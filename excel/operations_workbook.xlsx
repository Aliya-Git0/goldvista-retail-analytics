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a\OneDrive\Desktop\Gold Analytics\excel\"/>
    </mc:Choice>
  </mc:AlternateContent>
  <bookViews>
    <workbookView xWindow="0" yWindow="0" windowWidth="20490" windowHeight="8205"/>
  </bookViews>
  <sheets>
    <sheet name="payment mode" sheetId="3" r:id="rId1"/>
    <sheet name="oldgold buyback branch" sheetId="2" r:id="rId2"/>
    <sheet name="old gold buyback" sheetId="1" r:id="rId3"/>
  </sheets>
  <calcPr calcId="0"/>
</workbook>
</file>

<file path=xl/sharedStrings.xml><?xml version="1.0" encoding="utf-8"?>
<sst xmlns="http://schemas.openxmlformats.org/spreadsheetml/2006/main" count="88" uniqueCount="65">
  <si>
    <t>year</t>
  </si>
  <si>
    <t>month_name</t>
  </si>
  <si>
    <t>month_number</t>
  </si>
  <si>
    <t>total_purchases</t>
  </si>
  <si>
    <t>total_weight_grams</t>
  </si>
  <si>
    <t>total_value</t>
  </si>
  <si>
    <t>avg_purchase_value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</si>
  <si>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</si>
  <si>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</si>
  <si>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</si>
  <si>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</si>
  <si>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</si>
  <si>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</si>
  <si>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</si>
  <si>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</si>
  <si>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</si>
  <si>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</si>
  <si>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</si>
  <si>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</si>
  <si>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Branch 17</t>
  </si>
  <si>
    <t>Branch 06</t>
  </si>
  <si>
    <t>Branch 18</t>
  </si>
  <si>
    <t>Branch 15</t>
  </si>
  <si>
    <t>Branch 04</t>
  </si>
  <si>
    <t>Branch 13</t>
  </si>
  <si>
    <t>Branch 19</t>
  </si>
  <si>
    <t>Branch 08</t>
  </si>
  <si>
    <t>Branch 09</t>
  </si>
  <si>
    <t>Branch 03</t>
  </si>
  <si>
    <t>Branch 16</t>
  </si>
  <si>
    <t>Branch 10</t>
  </si>
  <si>
    <t>Branch 12</t>
  </si>
  <si>
    <t>Branch 01</t>
  </si>
  <si>
    <t>Branch 07</t>
  </si>
  <si>
    <t>Branch 05</t>
  </si>
  <si>
    <t>Branch 02</t>
  </si>
  <si>
    <t>branch_name</t>
  </si>
  <si>
    <t>CARD</t>
  </si>
  <si>
    <t>AMEX</t>
  </si>
  <si>
    <t>AMEX-B</t>
  </si>
  <si>
    <t>TAMARA-P</t>
  </si>
  <si>
    <t>CHEQUE</t>
  </si>
  <si>
    <t>LOYALTY_POINT_REDEMPTION</t>
  </si>
  <si>
    <t>GIFT</t>
  </si>
  <si>
    <t>STC</t>
  </si>
  <si>
    <t>CASH</t>
  </si>
  <si>
    <t>COD</t>
  </si>
  <si>
    <t>MASTER-B</t>
  </si>
  <si>
    <t>VISA-B</t>
  </si>
  <si>
    <t>TMRA</t>
  </si>
  <si>
    <t>TRANSFER</t>
  </si>
  <si>
    <t>BSF-Apex</t>
  </si>
  <si>
    <t>BANK-BS</t>
  </si>
  <si>
    <t>Bank B</t>
  </si>
  <si>
    <t>TABY</t>
  </si>
  <si>
    <t>Master</t>
  </si>
  <si>
    <t>MADA-B</t>
  </si>
  <si>
    <t>VISA</t>
  </si>
  <si>
    <t>CASH-P</t>
  </si>
  <si>
    <t>BANK F</t>
  </si>
  <si>
    <t>MADA</t>
  </si>
  <si>
    <t>total_amount</t>
  </si>
  <si>
    <t>transaction_count</t>
  </si>
  <si>
    <t>payment_type</t>
  </si>
  <si>
    <t>payment_mode_name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</si>
</sst>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 Split (by Transaction Count)</a:t>
            </a:r>
          </a:p>
        </c:rich>
      </c:tx>
      <c:layout>
        <c:manualLayout>
          <c:xMode val="edge"/>
          <c:yMode val="edge"/>
          <c:x val="0.111763998250218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mode'!$C$1</c:f>
              <c:strCache>
                <c:ptCount val="1"/>
                <c:pt idx="0">
                  <c:v>transaction_count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F1-42FE-A946-863EFF86DF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F1-42FE-A946-863EFF86DF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F1-42FE-A946-863EFF86DF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F1-42FE-A946-863EFF86DF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FF1-42FE-A946-863EFF86DF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FF1-42FE-A946-863EFF86DF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FF1-42FE-A946-863EFF86DF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FF1-42FE-A946-863EFF86DF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FF1-42FE-A946-863EFF86DF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FF1-42FE-A946-863EFF86DF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FF1-42FE-A946-863EFF86DF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FF1-42FE-A946-863EFF86DF6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FF1-42FE-A946-863EFF86DF6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FF1-42FE-A946-863EFF86DF6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FF1-42FE-A946-863EFF86DF6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FF1-42FE-A946-863EFF86DF6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FF1-42FE-A946-863EFF86DF6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FF1-42FE-A946-863EFF86DF6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FF1-42FE-A946-863EFF86DF6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FF1-42FE-A946-863EFF86DF6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FF1-42FE-A946-863EFF86DF63}"/>
              </c:ext>
            </c:extLst>
          </c:dPt>
          <c:cat>
            <c:multiLvlStrRef>
              <c:f>'payment mode'!$A$2:$B$22</c:f>
              <c:multiLvlStrCache>
                <c:ptCount val="21"/>
                <c:lvl>
                  <c:pt idx="0">
                    <c:v>CASH</c:v>
                  </c:pt>
                  <c:pt idx="1">
                    <c:v>CARD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CARD</c:v>
                  </c:pt>
                  <c:pt idx="5">
                    <c:v>CARD</c:v>
                  </c:pt>
                  <c:pt idx="6">
                    <c:v>CARD</c:v>
                  </c:pt>
                  <c:pt idx="7">
                    <c:v>CARD</c:v>
                  </c:pt>
                  <c:pt idx="8">
                    <c:v>TRANSFER</c:v>
                  </c:pt>
                  <c:pt idx="9">
                    <c:v>TRANSFER</c:v>
                  </c:pt>
                  <c:pt idx="10">
                    <c:v>TRANSFER</c:v>
                  </c:pt>
                  <c:pt idx="11">
                    <c:v>CARD</c:v>
                  </c:pt>
                  <c:pt idx="12">
                    <c:v>CARD</c:v>
                  </c:pt>
                  <c:pt idx="13">
                    <c:v>CARD</c:v>
                  </c:pt>
                  <c:pt idx="14">
                    <c:v>CASH</c:v>
                  </c:pt>
                  <c:pt idx="15">
                    <c:v>CARD</c:v>
                  </c:pt>
                  <c:pt idx="16">
                    <c:v>LOYALTY_POINT_REDEMPTION</c:v>
                  </c:pt>
                  <c:pt idx="17">
                    <c:v>CHEQUE</c:v>
                  </c:pt>
                  <c:pt idx="18">
                    <c:v>CARD</c:v>
                  </c:pt>
                  <c:pt idx="19">
                    <c:v>CARD</c:v>
                  </c:pt>
                  <c:pt idx="20">
                    <c:v>CARD</c:v>
                  </c:pt>
                </c:lvl>
                <c:lvl>
                  <c:pt idx="0">
                    <c:v>CASH</c:v>
                  </c:pt>
                  <c:pt idx="1">
                    <c:v>MADA</c:v>
                  </c:pt>
                  <c:pt idx="2">
                    <c:v>BANK F</c:v>
                  </c:pt>
                  <c:pt idx="3">
                    <c:v>CASH-P</c:v>
                  </c:pt>
                  <c:pt idx="4">
                    <c:v>VISA</c:v>
                  </c:pt>
                  <c:pt idx="5">
                    <c:v>MADA-B</c:v>
                  </c:pt>
                  <c:pt idx="6">
                    <c:v>Master</c:v>
                  </c:pt>
                  <c:pt idx="7">
                    <c:v>TABY</c:v>
                  </c:pt>
                  <c:pt idx="8">
                    <c:v>Bank B</c:v>
                  </c:pt>
                  <c:pt idx="9">
                    <c:v>BANK-BS</c:v>
                  </c:pt>
                  <c:pt idx="10">
                    <c:v>BSF-Apex</c:v>
                  </c:pt>
                  <c:pt idx="11">
                    <c:v>TMRA</c:v>
                  </c:pt>
                  <c:pt idx="12">
                    <c:v>VISA-B</c:v>
                  </c:pt>
                  <c:pt idx="13">
                    <c:v>MASTER-B</c:v>
                  </c:pt>
                  <c:pt idx="14">
                    <c:v>COD</c:v>
                  </c:pt>
                  <c:pt idx="15">
                    <c:v>STC</c:v>
                  </c:pt>
                  <c:pt idx="16">
                    <c:v>GIFT</c:v>
                  </c:pt>
                  <c:pt idx="17">
                    <c:v>CHEQUE</c:v>
                  </c:pt>
                  <c:pt idx="18">
                    <c:v>TAMARA-P</c:v>
                  </c:pt>
                  <c:pt idx="19">
                    <c:v>AMEX-B</c:v>
                  </c:pt>
                  <c:pt idx="20">
                    <c:v>AMEX</c:v>
                  </c:pt>
                </c:lvl>
              </c:multiLvlStrCache>
            </c:multiLvlStrRef>
          </c:cat>
          <c:val>
            <c:numRef>
              <c:f>'payment mode'!$C$2:$C$22</c:f>
              <c:numCache>
                <c:formatCode>General</c:formatCode>
                <c:ptCount val="21"/>
                <c:pt idx="0">
                  <c:v>43011</c:v>
                </c:pt>
                <c:pt idx="1">
                  <c:v>22123</c:v>
                </c:pt>
                <c:pt idx="2">
                  <c:v>1092</c:v>
                </c:pt>
                <c:pt idx="3">
                  <c:v>2059</c:v>
                </c:pt>
                <c:pt idx="4">
                  <c:v>1592</c:v>
                </c:pt>
                <c:pt idx="5">
                  <c:v>1149</c:v>
                </c:pt>
                <c:pt idx="6">
                  <c:v>650</c:v>
                </c:pt>
                <c:pt idx="7">
                  <c:v>928</c:v>
                </c:pt>
                <c:pt idx="8">
                  <c:v>21</c:v>
                </c:pt>
                <c:pt idx="9">
                  <c:v>24</c:v>
                </c:pt>
                <c:pt idx="10">
                  <c:v>3</c:v>
                </c:pt>
                <c:pt idx="11">
                  <c:v>123</c:v>
                </c:pt>
                <c:pt idx="12">
                  <c:v>78</c:v>
                </c:pt>
                <c:pt idx="13">
                  <c:v>35</c:v>
                </c:pt>
                <c:pt idx="14">
                  <c:v>33</c:v>
                </c:pt>
                <c:pt idx="15">
                  <c:v>11</c:v>
                </c:pt>
                <c:pt idx="16">
                  <c:v>254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FF1-42FE-A946-863EFF86DF63}"/>
            </c:ext>
          </c:extLst>
        </c:ser>
        <c:ser>
          <c:idx val="1"/>
          <c:order val="1"/>
          <c:tx>
            <c:strRef>
              <c:f>'payment mode'!$D$1</c:f>
              <c:strCache>
                <c:ptCount val="1"/>
                <c:pt idx="0">
                  <c:v>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FFF1-42FE-A946-863EFF86DF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E-FFF1-42FE-A946-863EFF86DF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0-FFF1-42FE-A946-863EFF86DF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FFF1-42FE-A946-863EFF86DF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FFF1-42FE-A946-863EFF86DF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FFF1-42FE-A946-863EFF86DF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8-FFF1-42FE-A946-863EFF86DF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A-FFF1-42FE-A946-863EFF86DF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C-FFF1-42FE-A946-863EFF86DF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E-FFF1-42FE-A946-863EFF86DF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FFF1-42FE-A946-863EFF86DF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2-FFF1-42FE-A946-863EFF86DF6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4-FFF1-42FE-A946-863EFF86DF6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6-FFF1-42FE-A946-863EFF86DF6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8-FFF1-42FE-A946-863EFF86DF6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A-FFF1-42FE-A946-863EFF86DF6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C-FFF1-42FE-A946-863EFF86DF6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E-FFF1-42FE-A946-863EFF86DF6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0-FFF1-42FE-A946-863EFF86DF6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2-FFF1-42FE-A946-863EFF86DF6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4-FFF1-42FE-A946-863EFF86DF63}"/>
              </c:ext>
            </c:extLst>
          </c:dPt>
          <c:cat>
            <c:multiLvlStrRef>
              <c:f>'payment mode'!$A$2:$B$22</c:f>
              <c:multiLvlStrCache>
                <c:ptCount val="21"/>
                <c:lvl>
                  <c:pt idx="0">
                    <c:v>CASH</c:v>
                  </c:pt>
                  <c:pt idx="1">
                    <c:v>CARD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CARD</c:v>
                  </c:pt>
                  <c:pt idx="5">
                    <c:v>CARD</c:v>
                  </c:pt>
                  <c:pt idx="6">
                    <c:v>CARD</c:v>
                  </c:pt>
                  <c:pt idx="7">
                    <c:v>CARD</c:v>
                  </c:pt>
                  <c:pt idx="8">
                    <c:v>TRANSFER</c:v>
                  </c:pt>
                  <c:pt idx="9">
                    <c:v>TRANSFER</c:v>
                  </c:pt>
                  <c:pt idx="10">
                    <c:v>TRANSFER</c:v>
                  </c:pt>
                  <c:pt idx="11">
                    <c:v>CARD</c:v>
                  </c:pt>
                  <c:pt idx="12">
                    <c:v>CARD</c:v>
                  </c:pt>
                  <c:pt idx="13">
                    <c:v>CARD</c:v>
                  </c:pt>
                  <c:pt idx="14">
                    <c:v>CASH</c:v>
                  </c:pt>
                  <c:pt idx="15">
                    <c:v>CARD</c:v>
                  </c:pt>
                  <c:pt idx="16">
                    <c:v>LOYALTY_POINT_REDEMPTION</c:v>
                  </c:pt>
                  <c:pt idx="17">
                    <c:v>CHEQUE</c:v>
                  </c:pt>
                  <c:pt idx="18">
                    <c:v>CARD</c:v>
                  </c:pt>
                  <c:pt idx="19">
                    <c:v>CARD</c:v>
                  </c:pt>
                  <c:pt idx="20">
                    <c:v>CARD</c:v>
                  </c:pt>
                </c:lvl>
                <c:lvl>
                  <c:pt idx="0">
                    <c:v>CASH</c:v>
                  </c:pt>
                  <c:pt idx="1">
                    <c:v>MADA</c:v>
                  </c:pt>
                  <c:pt idx="2">
                    <c:v>BANK F</c:v>
                  </c:pt>
                  <c:pt idx="3">
                    <c:v>CASH-P</c:v>
                  </c:pt>
                  <c:pt idx="4">
                    <c:v>VISA</c:v>
                  </c:pt>
                  <c:pt idx="5">
                    <c:v>MADA-B</c:v>
                  </c:pt>
                  <c:pt idx="6">
                    <c:v>Master</c:v>
                  </c:pt>
                  <c:pt idx="7">
                    <c:v>TABY</c:v>
                  </c:pt>
                  <c:pt idx="8">
                    <c:v>Bank B</c:v>
                  </c:pt>
                  <c:pt idx="9">
                    <c:v>BANK-BS</c:v>
                  </c:pt>
                  <c:pt idx="10">
                    <c:v>BSF-Apex</c:v>
                  </c:pt>
                  <c:pt idx="11">
                    <c:v>TMRA</c:v>
                  </c:pt>
                  <c:pt idx="12">
                    <c:v>VISA-B</c:v>
                  </c:pt>
                  <c:pt idx="13">
                    <c:v>MASTER-B</c:v>
                  </c:pt>
                  <c:pt idx="14">
                    <c:v>COD</c:v>
                  </c:pt>
                  <c:pt idx="15">
                    <c:v>STC</c:v>
                  </c:pt>
                  <c:pt idx="16">
                    <c:v>GIFT</c:v>
                  </c:pt>
                  <c:pt idx="17">
                    <c:v>CHEQUE</c:v>
                  </c:pt>
                  <c:pt idx="18">
                    <c:v>TAMARA-P</c:v>
                  </c:pt>
                  <c:pt idx="19">
                    <c:v>AMEX-B</c:v>
                  </c:pt>
                  <c:pt idx="20">
                    <c:v>AMEX</c:v>
                  </c:pt>
                </c:lvl>
              </c:multiLvlStrCache>
            </c:multiLvlStrRef>
          </c:cat>
          <c:val>
            <c:numRef>
              <c:f>'payment mode'!$D$2:$D$22</c:f>
              <c:numCache>
                <c:formatCode>General</c:formatCode>
                <c:ptCount val="21"/>
                <c:pt idx="0">
                  <c:v>211232815.15000001</c:v>
                </c:pt>
                <c:pt idx="1">
                  <c:v>92728268.949999899</c:v>
                </c:pt>
                <c:pt idx="2">
                  <c:v>13579045.689999999</c:v>
                </c:pt>
                <c:pt idx="3">
                  <c:v>13504771</c:v>
                </c:pt>
                <c:pt idx="4">
                  <c:v>6935427.75</c:v>
                </c:pt>
                <c:pt idx="5">
                  <c:v>4781197.8</c:v>
                </c:pt>
                <c:pt idx="6">
                  <c:v>3024412</c:v>
                </c:pt>
                <c:pt idx="7">
                  <c:v>2680632.98</c:v>
                </c:pt>
                <c:pt idx="8">
                  <c:v>1725142</c:v>
                </c:pt>
                <c:pt idx="9">
                  <c:v>767359.21</c:v>
                </c:pt>
                <c:pt idx="10">
                  <c:v>611670</c:v>
                </c:pt>
                <c:pt idx="11">
                  <c:v>396204</c:v>
                </c:pt>
                <c:pt idx="12">
                  <c:v>369887</c:v>
                </c:pt>
                <c:pt idx="13">
                  <c:v>151882</c:v>
                </c:pt>
                <c:pt idx="14">
                  <c:v>58015.1499999999</c:v>
                </c:pt>
                <c:pt idx="15">
                  <c:v>47650</c:v>
                </c:pt>
                <c:pt idx="16">
                  <c:v>39975</c:v>
                </c:pt>
                <c:pt idx="17">
                  <c:v>8070</c:v>
                </c:pt>
                <c:pt idx="18">
                  <c:v>1260</c:v>
                </c:pt>
                <c:pt idx="19">
                  <c:v>800</c:v>
                </c:pt>
                <c:pt idx="2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FFF1-42FE-A946-863EFF86D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'payment mode'!$D$1</c:f>
              <c:strCache>
                <c:ptCount val="1"/>
                <c:pt idx="0">
                  <c:v>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46-4477-9D23-399E03FBBB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46-4477-9D23-399E03FBBB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46-4477-9D23-399E03FBBB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46-4477-9D23-399E03FBBB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46-4477-9D23-399E03FBBB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46-4477-9D23-399E03FBBB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46-4477-9D23-399E03FBBBF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46-4477-9D23-399E03FBBBF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46-4477-9D23-399E03FBBBF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346-4477-9D23-399E03FBBBF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346-4477-9D23-399E03FBBBF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346-4477-9D23-399E03FBBBF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346-4477-9D23-399E03FBBBF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346-4477-9D23-399E03FBBBF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346-4477-9D23-399E03FBBBF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346-4477-9D23-399E03FBBBF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346-4477-9D23-399E03FBBBF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346-4477-9D23-399E03FBBBF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346-4477-9D23-399E03FBBBF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346-4477-9D23-399E03FBBBF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346-4477-9D23-399E03FBBBF4}"/>
              </c:ext>
            </c:extLst>
          </c:dPt>
          <c:cat>
            <c:strRef>
              <c:f>'payment mode'!$A$2:$A$22</c:f>
              <c:strCache>
                <c:ptCount val="21"/>
                <c:pt idx="0">
                  <c:v>CASH</c:v>
                </c:pt>
                <c:pt idx="1">
                  <c:v>MADA</c:v>
                </c:pt>
                <c:pt idx="2">
                  <c:v>BANK F</c:v>
                </c:pt>
                <c:pt idx="3">
                  <c:v>CASH-P</c:v>
                </c:pt>
                <c:pt idx="4">
                  <c:v>VISA</c:v>
                </c:pt>
                <c:pt idx="5">
                  <c:v>MADA-B</c:v>
                </c:pt>
                <c:pt idx="6">
                  <c:v>Master</c:v>
                </c:pt>
                <c:pt idx="7">
                  <c:v>TABY</c:v>
                </c:pt>
                <c:pt idx="8">
                  <c:v>Bank B</c:v>
                </c:pt>
                <c:pt idx="9">
                  <c:v>BANK-BS</c:v>
                </c:pt>
                <c:pt idx="10">
                  <c:v>BSF-Apex</c:v>
                </c:pt>
                <c:pt idx="11">
                  <c:v>TMRA</c:v>
                </c:pt>
                <c:pt idx="12">
                  <c:v>VISA-B</c:v>
                </c:pt>
                <c:pt idx="13">
                  <c:v>MASTER-B</c:v>
                </c:pt>
                <c:pt idx="14">
                  <c:v>COD</c:v>
                </c:pt>
                <c:pt idx="15">
                  <c:v>STC</c:v>
                </c:pt>
                <c:pt idx="16">
                  <c:v>GIFT</c:v>
                </c:pt>
                <c:pt idx="17">
                  <c:v>CHEQUE</c:v>
                </c:pt>
                <c:pt idx="18">
                  <c:v>TAMARA-P</c:v>
                </c:pt>
                <c:pt idx="19">
                  <c:v>AMEX-B</c:v>
                </c:pt>
                <c:pt idx="20">
                  <c:v>AMEX</c:v>
                </c:pt>
              </c:strCache>
            </c:strRef>
          </c:cat>
          <c:val>
            <c:numRef>
              <c:f>'payment mode'!$D$2:$D$22</c:f>
              <c:numCache>
                <c:formatCode>General</c:formatCode>
                <c:ptCount val="21"/>
                <c:pt idx="0">
                  <c:v>211232815.15000001</c:v>
                </c:pt>
                <c:pt idx="1">
                  <c:v>92728268.949999899</c:v>
                </c:pt>
                <c:pt idx="2">
                  <c:v>13579045.689999999</c:v>
                </c:pt>
                <c:pt idx="3">
                  <c:v>13504771</c:v>
                </c:pt>
                <c:pt idx="4">
                  <c:v>6935427.75</c:v>
                </c:pt>
                <c:pt idx="5">
                  <c:v>4781197.8</c:v>
                </c:pt>
                <c:pt idx="6">
                  <c:v>3024412</c:v>
                </c:pt>
                <c:pt idx="7">
                  <c:v>2680632.98</c:v>
                </c:pt>
                <c:pt idx="8">
                  <c:v>1725142</c:v>
                </c:pt>
                <c:pt idx="9">
                  <c:v>767359.21</c:v>
                </c:pt>
                <c:pt idx="10">
                  <c:v>611670</c:v>
                </c:pt>
                <c:pt idx="11">
                  <c:v>396204</c:v>
                </c:pt>
                <c:pt idx="12">
                  <c:v>369887</c:v>
                </c:pt>
                <c:pt idx="13">
                  <c:v>151882</c:v>
                </c:pt>
                <c:pt idx="14">
                  <c:v>58015.1499999999</c:v>
                </c:pt>
                <c:pt idx="15">
                  <c:v>47650</c:v>
                </c:pt>
                <c:pt idx="16">
                  <c:v>39975</c:v>
                </c:pt>
                <c:pt idx="17">
                  <c:v>8070</c:v>
                </c:pt>
                <c:pt idx="18">
                  <c:v>1260</c:v>
                </c:pt>
                <c:pt idx="19">
                  <c:v>800</c:v>
                </c:pt>
                <c:pt idx="2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346-4477-9D23-399E03FB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Old Gold Buy-Back by Branch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'oldgold buyback branch'!$D$1</c:f>
              <c:strCache>
                <c:ptCount val="1"/>
                <c:pt idx="0">
                  <c:v>total_value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'oldgold buyback branch'!$A$2:$A$18</c:f>
              <c:strCache>
                <c:ptCount val="17"/>
                <c:pt idx="0">
                  <c:v>Branch 02</c:v>
                </c:pt>
                <c:pt idx="1">
                  <c:v>Branch 05</c:v>
                </c:pt>
                <c:pt idx="2">
                  <c:v>Branch 07</c:v>
                </c:pt>
                <c:pt idx="3">
                  <c:v>Branch 01</c:v>
                </c:pt>
                <c:pt idx="4">
                  <c:v>Branch 12</c:v>
                </c:pt>
                <c:pt idx="5">
                  <c:v>Branch 10</c:v>
                </c:pt>
                <c:pt idx="6">
                  <c:v>Branch 16</c:v>
                </c:pt>
                <c:pt idx="7">
                  <c:v>Branch 03</c:v>
                </c:pt>
                <c:pt idx="8">
                  <c:v>Branch 09</c:v>
                </c:pt>
                <c:pt idx="9">
                  <c:v>Branch 08</c:v>
                </c:pt>
                <c:pt idx="10">
                  <c:v>Branch 19</c:v>
                </c:pt>
                <c:pt idx="11">
                  <c:v>Branch 13</c:v>
                </c:pt>
                <c:pt idx="12">
                  <c:v>Branch 04</c:v>
                </c:pt>
                <c:pt idx="13">
                  <c:v>Branch 15</c:v>
                </c:pt>
                <c:pt idx="14">
                  <c:v>Branch 18</c:v>
                </c:pt>
                <c:pt idx="15">
                  <c:v>Branch 06</c:v>
                </c:pt>
                <c:pt idx="16">
                  <c:v>Branch 17</c:v>
                </c:pt>
              </c:strCache>
            </c:strRef>
          </c:cat>
          <c:val>
            <c:numRef>
              <c:f>'oldgold buyback branch'!$D$2:$D$18</c:f>
              <c:numCache>
                <c:formatCode>General</c:formatCode>
                <c:ptCount val="17"/>
                <c:pt idx="0">
                  <c:v>7006699</c:v>
                </c:pt>
                <c:pt idx="1">
                  <c:v>6819845.0599999996</c:v>
                </c:pt>
                <c:pt idx="2">
                  <c:v>3221652.89</c:v>
                </c:pt>
                <c:pt idx="3">
                  <c:v>3008394</c:v>
                </c:pt>
                <c:pt idx="4">
                  <c:v>2429815.81</c:v>
                </c:pt>
                <c:pt idx="5">
                  <c:v>2392870</c:v>
                </c:pt>
                <c:pt idx="6">
                  <c:v>2173825.0299999998</c:v>
                </c:pt>
                <c:pt idx="7">
                  <c:v>2066106</c:v>
                </c:pt>
                <c:pt idx="8">
                  <c:v>1946215.0899999901</c:v>
                </c:pt>
                <c:pt idx="9">
                  <c:v>1899770</c:v>
                </c:pt>
                <c:pt idx="10">
                  <c:v>1309133</c:v>
                </c:pt>
                <c:pt idx="11">
                  <c:v>1066405</c:v>
                </c:pt>
                <c:pt idx="12">
                  <c:v>919710</c:v>
                </c:pt>
                <c:pt idx="13">
                  <c:v>544195.19999999995</c:v>
                </c:pt>
                <c:pt idx="14">
                  <c:v>440613</c:v>
                </c:pt>
                <c:pt idx="15">
                  <c:v>427930</c:v>
                </c:pt>
                <c:pt idx="16">
                  <c:v>82980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A-4742-B3EC-C85BC804B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243215"/>
        <c:axId val="434246959"/>
      </c:barChart>
      <c:lineChart>
        <c:grouping val="standard"/>
        <c:varyColors val="0"/>
        <c:ser>
          <c:idx val="0"/>
          <c:order val="0"/>
          <c:tx>
            <c:strRef>
              <c:f>'oldgold buyback branch'!$B$1</c:f>
              <c:strCache>
                <c:ptCount val="1"/>
                <c:pt idx="0">
                  <c:v>total_purchases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'oldgold buyback branch'!$A$2:$A$18</c:f>
              <c:strCache>
                <c:ptCount val="17"/>
                <c:pt idx="0">
                  <c:v>Branch 02</c:v>
                </c:pt>
                <c:pt idx="1">
                  <c:v>Branch 05</c:v>
                </c:pt>
                <c:pt idx="2">
                  <c:v>Branch 07</c:v>
                </c:pt>
                <c:pt idx="3">
                  <c:v>Branch 01</c:v>
                </c:pt>
                <c:pt idx="4">
                  <c:v>Branch 12</c:v>
                </c:pt>
                <c:pt idx="5">
                  <c:v>Branch 10</c:v>
                </c:pt>
                <c:pt idx="6">
                  <c:v>Branch 16</c:v>
                </c:pt>
                <c:pt idx="7">
                  <c:v>Branch 03</c:v>
                </c:pt>
                <c:pt idx="8">
                  <c:v>Branch 09</c:v>
                </c:pt>
                <c:pt idx="9">
                  <c:v>Branch 08</c:v>
                </c:pt>
                <c:pt idx="10">
                  <c:v>Branch 19</c:v>
                </c:pt>
                <c:pt idx="11">
                  <c:v>Branch 13</c:v>
                </c:pt>
                <c:pt idx="12">
                  <c:v>Branch 04</c:v>
                </c:pt>
                <c:pt idx="13">
                  <c:v>Branch 15</c:v>
                </c:pt>
                <c:pt idx="14">
                  <c:v>Branch 18</c:v>
                </c:pt>
                <c:pt idx="15">
                  <c:v>Branch 06</c:v>
                </c:pt>
                <c:pt idx="16">
                  <c:v>Branch 17</c:v>
                </c:pt>
              </c:strCache>
            </c:strRef>
          </c:cat>
          <c:val>
            <c:numRef>
              <c:f>'oldgold buyback branch'!$B$2:$B$18</c:f>
              <c:numCache>
                <c:formatCode>General</c:formatCode>
                <c:ptCount val="17"/>
                <c:pt idx="0">
                  <c:v>673</c:v>
                </c:pt>
                <c:pt idx="1">
                  <c:v>936</c:v>
                </c:pt>
                <c:pt idx="2">
                  <c:v>334</c:v>
                </c:pt>
                <c:pt idx="3">
                  <c:v>483</c:v>
                </c:pt>
                <c:pt idx="4">
                  <c:v>464</c:v>
                </c:pt>
                <c:pt idx="5">
                  <c:v>255</c:v>
                </c:pt>
                <c:pt idx="6">
                  <c:v>402</c:v>
                </c:pt>
                <c:pt idx="7">
                  <c:v>312</c:v>
                </c:pt>
                <c:pt idx="8">
                  <c:v>372</c:v>
                </c:pt>
                <c:pt idx="9">
                  <c:v>402</c:v>
                </c:pt>
                <c:pt idx="10">
                  <c:v>220</c:v>
                </c:pt>
                <c:pt idx="11">
                  <c:v>208</c:v>
                </c:pt>
                <c:pt idx="12">
                  <c:v>118</c:v>
                </c:pt>
                <c:pt idx="13">
                  <c:v>70</c:v>
                </c:pt>
                <c:pt idx="14">
                  <c:v>13</c:v>
                </c:pt>
                <c:pt idx="15">
                  <c:v>91</c:v>
                </c:pt>
                <c:pt idx="1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A-4742-B3EC-C85BC804BC9D}"/>
            </c:ext>
          </c:extLst>
        </c:ser>
        <c:ser>
          <c:idx val="1"/>
          <c:order val="1"/>
          <c:tx>
            <c:strRef>
              <c:f>'oldgold buyback branch'!$C$1</c:f>
              <c:strCache>
                <c:ptCount val="1"/>
                <c:pt idx="0">
                  <c:v>total_weight_grams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'oldgold buyback branch'!$A$2:$A$18</c:f>
              <c:strCache>
                <c:ptCount val="17"/>
                <c:pt idx="0">
                  <c:v>Branch 02</c:v>
                </c:pt>
                <c:pt idx="1">
                  <c:v>Branch 05</c:v>
                </c:pt>
                <c:pt idx="2">
                  <c:v>Branch 07</c:v>
                </c:pt>
                <c:pt idx="3">
                  <c:v>Branch 01</c:v>
                </c:pt>
                <c:pt idx="4">
                  <c:v>Branch 12</c:v>
                </c:pt>
                <c:pt idx="5">
                  <c:v>Branch 10</c:v>
                </c:pt>
                <c:pt idx="6">
                  <c:v>Branch 16</c:v>
                </c:pt>
                <c:pt idx="7">
                  <c:v>Branch 03</c:v>
                </c:pt>
                <c:pt idx="8">
                  <c:v>Branch 09</c:v>
                </c:pt>
                <c:pt idx="9">
                  <c:v>Branch 08</c:v>
                </c:pt>
                <c:pt idx="10">
                  <c:v>Branch 19</c:v>
                </c:pt>
                <c:pt idx="11">
                  <c:v>Branch 13</c:v>
                </c:pt>
                <c:pt idx="12">
                  <c:v>Branch 04</c:v>
                </c:pt>
                <c:pt idx="13">
                  <c:v>Branch 15</c:v>
                </c:pt>
                <c:pt idx="14">
                  <c:v>Branch 18</c:v>
                </c:pt>
                <c:pt idx="15">
                  <c:v>Branch 06</c:v>
                </c:pt>
                <c:pt idx="16">
                  <c:v>Branch 17</c:v>
                </c:pt>
              </c:strCache>
            </c:strRef>
          </c:cat>
          <c:val>
            <c:numRef>
              <c:f>'oldgold buyback branch'!$C$2:$C$18</c:f>
              <c:numCache>
                <c:formatCode>General</c:formatCode>
                <c:ptCount val="17"/>
                <c:pt idx="0">
                  <c:v>21264.81</c:v>
                </c:pt>
                <c:pt idx="1">
                  <c:v>42795.3299999999</c:v>
                </c:pt>
                <c:pt idx="2">
                  <c:v>10362.11</c:v>
                </c:pt>
                <c:pt idx="3">
                  <c:v>7676.6199999999899</c:v>
                </c:pt>
                <c:pt idx="4">
                  <c:v>6326.53</c:v>
                </c:pt>
                <c:pt idx="5">
                  <c:v>6692.95</c:v>
                </c:pt>
                <c:pt idx="6">
                  <c:v>11473.8399999999</c:v>
                </c:pt>
                <c:pt idx="7">
                  <c:v>5414.68</c:v>
                </c:pt>
                <c:pt idx="8">
                  <c:v>6020.5199999999904</c:v>
                </c:pt>
                <c:pt idx="9">
                  <c:v>6990.18</c:v>
                </c:pt>
                <c:pt idx="10">
                  <c:v>3285.59</c:v>
                </c:pt>
                <c:pt idx="11">
                  <c:v>2795.03999999999</c:v>
                </c:pt>
                <c:pt idx="12">
                  <c:v>3042.6089999999999</c:v>
                </c:pt>
                <c:pt idx="13">
                  <c:v>1833.2059999999999</c:v>
                </c:pt>
                <c:pt idx="14">
                  <c:v>6100.3</c:v>
                </c:pt>
                <c:pt idx="15">
                  <c:v>1404.8699999999899</c:v>
                </c:pt>
                <c:pt idx="16">
                  <c:v>274.2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0A-4742-B3EC-C85BC804B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253199"/>
        <c:axId val="434236143"/>
      </c:lineChart>
      <c:catAx>
        <c:axId val="43424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46959"/>
        <c:crosses val="autoZero"/>
        <c:auto val="1"/>
        <c:lblAlgn val="ctr"/>
        <c:lblOffset val="100"/>
        <c:noMultiLvlLbl val="0"/>
      </c:catAx>
      <c:valAx>
        <c:axId val="4342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43215"/>
        <c:crosses val="autoZero"/>
        <c:crossBetween val="between"/>
      </c:valAx>
      <c:valAx>
        <c:axId val="4342361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53199"/>
        <c:crosses val="max"/>
        <c:crossBetween val="between"/>
      </c:valAx>
      <c:catAx>
        <c:axId val="434253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4236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Old</a:t>
            </a:r>
            <a:r>
              <a:rPr lang="en-GB" baseline="0"/>
              <a:t> Gold BuyBack Trend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'old gold buyback'!$D$1</c:f>
              <c:strCache>
                <c:ptCount val="1"/>
                <c:pt idx="0">
                  <c:v>total_purchases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'old gold buyback'!$A$2:$B$15</c:f>
              <c:multiLvlStrCache>
                <c:ptCount val="1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'old gold buyback'!$D$2:$D$15</c:f>
              <c:numCache>
                <c:formatCode>General</c:formatCode>
                <c:ptCount val="14"/>
                <c:pt idx="0">
                  <c:v>316</c:v>
                </c:pt>
                <c:pt idx="1">
                  <c:v>458</c:v>
                </c:pt>
                <c:pt idx="2">
                  <c:v>417</c:v>
                </c:pt>
                <c:pt idx="3">
                  <c:v>438</c:v>
                </c:pt>
                <c:pt idx="4">
                  <c:v>416</c:v>
                </c:pt>
                <c:pt idx="5">
                  <c:v>324</c:v>
                </c:pt>
                <c:pt idx="6">
                  <c:v>376</c:v>
                </c:pt>
                <c:pt idx="7">
                  <c:v>369</c:v>
                </c:pt>
                <c:pt idx="8">
                  <c:v>381</c:v>
                </c:pt>
                <c:pt idx="9">
                  <c:v>447</c:v>
                </c:pt>
                <c:pt idx="10">
                  <c:v>370</c:v>
                </c:pt>
                <c:pt idx="11">
                  <c:v>433</c:v>
                </c:pt>
                <c:pt idx="12">
                  <c:v>484</c:v>
                </c:pt>
                <c:pt idx="1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E-45C8-AD68-C4235BAF4FDB}"/>
            </c:ext>
          </c:extLst>
        </c:ser>
        <c:ser>
          <c:idx val="3"/>
          <c:order val="3"/>
          <c:tx>
            <c:strRef>
              <c:f>'old gold buyback'!$F$1</c:f>
              <c:strCache>
                <c:ptCount val="1"/>
                <c:pt idx="0">
                  <c:v>total_value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'old gold buyback'!$A$2:$B$15</c:f>
              <c:multiLvlStrCache>
                <c:ptCount val="1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'old gold buyback'!$F$2:$F$15</c:f>
              <c:numCache>
                <c:formatCode>General</c:formatCode>
                <c:ptCount val="14"/>
                <c:pt idx="0">
                  <c:v>2170767.2000000002</c:v>
                </c:pt>
                <c:pt idx="1">
                  <c:v>2590782</c:v>
                </c:pt>
                <c:pt idx="2">
                  <c:v>2874102</c:v>
                </c:pt>
                <c:pt idx="3">
                  <c:v>2984531.03</c:v>
                </c:pt>
                <c:pt idx="4">
                  <c:v>3222487.15</c:v>
                </c:pt>
                <c:pt idx="5">
                  <c:v>2203419.81</c:v>
                </c:pt>
                <c:pt idx="6">
                  <c:v>3226207</c:v>
                </c:pt>
                <c:pt idx="7">
                  <c:v>2482782</c:v>
                </c:pt>
                <c:pt idx="8">
                  <c:v>2573173</c:v>
                </c:pt>
                <c:pt idx="9">
                  <c:v>3451236</c:v>
                </c:pt>
                <c:pt idx="10">
                  <c:v>2212460</c:v>
                </c:pt>
                <c:pt idx="11">
                  <c:v>2671482.89</c:v>
                </c:pt>
                <c:pt idx="12">
                  <c:v>4078874</c:v>
                </c:pt>
                <c:pt idx="13">
                  <c:v>1013855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AE-45C8-AD68-C4235BAF4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604879"/>
        <c:axId val="7336065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'old gold buyback'!$C$1</c15:sqref>
                        </c15:formulaRef>
                      </c:ext>
                    </c:extLst>
                    <c:strCache>
                      <c:ptCount val="1"/>
                      <c:pt idx="0">
                        <c:v>month_number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'old gold buyback'!$A$2:$B$15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January</c:v>
                        </c:pt>
                        <c:pt idx="1">
                          <c:v>February</c:v>
                        </c:pt>
                        <c:pt idx="2">
                          <c:v>March</c:v>
                        </c:pt>
                        <c:pt idx="3">
                          <c:v>April</c:v>
                        </c:pt>
                        <c:pt idx="4">
                          <c:v>May</c:v>
                        </c:pt>
                        <c:pt idx="5">
                          <c:v>June</c:v>
                        </c:pt>
                        <c:pt idx="6">
                          <c:v>July</c:v>
                        </c:pt>
                        <c:pt idx="7">
                          <c:v>August</c:v>
                        </c:pt>
                        <c:pt idx="8">
                          <c:v>September</c:v>
                        </c:pt>
                        <c:pt idx="9">
                          <c:v>October</c:v>
                        </c:pt>
                        <c:pt idx="10">
                          <c:v>November</c:v>
                        </c:pt>
                        <c:pt idx="11">
                          <c:v>December</c:v>
                        </c:pt>
                        <c:pt idx="12">
                          <c:v>January</c:v>
                        </c:pt>
                        <c:pt idx="13">
                          <c:v>February</c:v>
                        </c:pt>
                      </c:lvl>
                      <c:lvl>
                        <c:pt idx="0">
                          <c:v>2025</c:v>
                        </c:pt>
                        <c:pt idx="1">
                          <c:v>2025</c:v>
                        </c:pt>
                        <c:pt idx="2">
                          <c:v>2025</c:v>
                        </c:pt>
                        <c:pt idx="3">
                          <c:v>2025</c:v>
                        </c:pt>
                        <c:pt idx="4">
                          <c:v>2025</c:v>
                        </c:pt>
                        <c:pt idx="5">
                          <c:v>2025</c:v>
                        </c:pt>
                        <c:pt idx="6">
                          <c:v>2025</c:v>
                        </c:pt>
                        <c:pt idx="7">
                          <c:v>2025</c:v>
                        </c:pt>
                        <c:pt idx="8">
                          <c:v>2025</c:v>
                        </c:pt>
                        <c:pt idx="9">
                          <c:v>2025</c:v>
                        </c:pt>
                        <c:pt idx="10">
                          <c:v>2025</c:v>
                        </c:pt>
                        <c:pt idx="11">
                          <c:v>2025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'old gold buyback'!$C$2:$C$15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</c:v>
                      </c:pt>
                      <c:pt idx="13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1AE-45C8-AD68-C4235BAF4FD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604879"/>
        <c:axId val="733606543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'old gold buyback'!$G$1</c15:sqref>
                        </c15:formulaRef>
                      </c:ext>
                    </c:extLst>
                    <c:strCache>
                      <c:ptCount val="1"/>
                      <c:pt idx="0">
                        <c:v>avg_purchase_value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'old gold buyback'!$A$2:$B$15</c15:sqref>
                        </c15:formulaRef>
                      </c:ext>
                    </c:extLst>
                    <c:multiLvlStrCache>
                      <c:ptCount val="14"/>
                      <c:lvl>
                        <c:pt idx="0">
                          <c:v>January</c:v>
                        </c:pt>
                        <c:pt idx="1">
                          <c:v>February</c:v>
                        </c:pt>
                        <c:pt idx="2">
                          <c:v>March</c:v>
                        </c:pt>
                        <c:pt idx="3">
                          <c:v>April</c:v>
                        </c:pt>
                        <c:pt idx="4">
                          <c:v>May</c:v>
                        </c:pt>
                        <c:pt idx="5">
                          <c:v>June</c:v>
                        </c:pt>
                        <c:pt idx="6">
                          <c:v>July</c:v>
                        </c:pt>
                        <c:pt idx="7">
                          <c:v>August</c:v>
                        </c:pt>
                        <c:pt idx="8">
                          <c:v>September</c:v>
                        </c:pt>
                        <c:pt idx="9">
                          <c:v>October</c:v>
                        </c:pt>
                        <c:pt idx="10">
                          <c:v>November</c:v>
                        </c:pt>
                        <c:pt idx="11">
                          <c:v>December</c:v>
                        </c:pt>
                        <c:pt idx="12">
                          <c:v>January</c:v>
                        </c:pt>
                        <c:pt idx="13">
                          <c:v>February</c:v>
                        </c:pt>
                      </c:lvl>
                      <c:lvl>
                        <c:pt idx="0">
                          <c:v>2025</c:v>
                        </c:pt>
                        <c:pt idx="1">
                          <c:v>2025</c:v>
                        </c:pt>
                        <c:pt idx="2">
                          <c:v>2025</c:v>
                        </c:pt>
                        <c:pt idx="3">
                          <c:v>2025</c:v>
                        </c:pt>
                        <c:pt idx="4">
                          <c:v>2025</c:v>
                        </c:pt>
                        <c:pt idx="5">
                          <c:v>2025</c:v>
                        </c:pt>
                        <c:pt idx="6">
                          <c:v>2025</c:v>
                        </c:pt>
                        <c:pt idx="7">
                          <c:v>2025</c:v>
                        </c:pt>
                        <c:pt idx="8">
                          <c:v>2025</c:v>
                        </c:pt>
                        <c:pt idx="9">
                          <c:v>2025</c:v>
                        </c:pt>
                        <c:pt idx="10">
                          <c:v>2025</c:v>
                        </c:pt>
                        <c:pt idx="11">
                          <c:v>2025</c:v>
                        </c:pt>
                        <c:pt idx="12">
                          <c:v>2026</c:v>
                        </c:pt>
                        <c:pt idx="13">
                          <c:v>2026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'old gold buyback'!$G$2:$G$15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6869.5164556962</c:v>
                      </c:pt>
                      <c:pt idx="1">
                        <c:v>5656.7292576419204</c:v>
                      </c:pt>
                      <c:pt idx="2">
                        <c:v>6892.3309352517899</c:v>
                      </c:pt>
                      <c:pt idx="3">
                        <c:v>6813.9977853881201</c:v>
                      </c:pt>
                      <c:pt idx="4">
                        <c:v>7746.3633413461503</c:v>
                      </c:pt>
                      <c:pt idx="5">
                        <c:v>6800.6784259259202</c:v>
                      </c:pt>
                      <c:pt idx="6">
                        <c:v>8580.3377659574398</c:v>
                      </c:pt>
                      <c:pt idx="7">
                        <c:v>6728.4065040650403</c:v>
                      </c:pt>
                      <c:pt idx="8">
                        <c:v>6753.73490813648</c:v>
                      </c:pt>
                      <c:pt idx="9">
                        <c:v>7720.8859060402601</c:v>
                      </c:pt>
                      <c:pt idx="10">
                        <c:v>5979.6216216216199</c:v>
                      </c:pt>
                      <c:pt idx="11">
                        <c:v>6169.7064434180102</c:v>
                      </c:pt>
                      <c:pt idx="12">
                        <c:v>8427.4256198347102</c:v>
                      </c:pt>
                      <c:pt idx="13">
                        <c:v>6759.0333333333301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1AE-45C8-AD68-C4235BAF4FD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'old gold buyback'!$E$1</c:f>
              <c:strCache>
                <c:ptCount val="1"/>
                <c:pt idx="0">
                  <c:v>total_weight_grams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'old gold buyback'!$A$2:$B$15</c:f>
              <c:multiLvlStrCache>
                <c:ptCount val="1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2026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'old gold buyback'!$E$2:$E$15</c:f>
              <c:numCache>
                <c:formatCode>General</c:formatCode>
                <c:ptCount val="14"/>
                <c:pt idx="0">
                  <c:v>7451.8450000000003</c:v>
                </c:pt>
                <c:pt idx="1">
                  <c:v>13346.199999999901</c:v>
                </c:pt>
                <c:pt idx="2">
                  <c:v>8873.39</c:v>
                </c:pt>
                <c:pt idx="3">
                  <c:v>13533.779999999901</c:v>
                </c:pt>
                <c:pt idx="4">
                  <c:v>10038.029999999901</c:v>
                </c:pt>
                <c:pt idx="5">
                  <c:v>5939.04</c:v>
                </c:pt>
                <c:pt idx="6">
                  <c:v>9990.35</c:v>
                </c:pt>
                <c:pt idx="7">
                  <c:v>8717.52</c:v>
                </c:pt>
                <c:pt idx="8">
                  <c:v>6522.1</c:v>
                </c:pt>
                <c:pt idx="9">
                  <c:v>11921.369999999901</c:v>
                </c:pt>
                <c:pt idx="10">
                  <c:v>6046.62</c:v>
                </c:pt>
                <c:pt idx="11">
                  <c:v>13567.45</c:v>
                </c:pt>
                <c:pt idx="12">
                  <c:v>25913.22</c:v>
                </c:pt>
                <c:pt idx="13">
                  <c:v>1892.47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E-45C8-AD68-C4235BAF4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503295"/>
        <c:axId val="430501215"/>
      </c:lineChart>
      <c:catAx>
        <c:axId val="73360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06543"/>
        <c:crosses val="autoZero"/>
        <c:auto val="1"/>
        <c:lblAlgn val="ctr"/>
        <c:lblOffset val="100"/>
        <c:noMultiLvlLbl val="0"/>
      </c:catAx>
      <c:valAx>
        <c:axId val="7336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04879"/>
        <c:crosses val="autoZero"/>
        <c:crossBetween val="between"/>
      </c:valAx>
      <c:valAx>
        <c:axId val="4305012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03295"/>
        <c:crosses val="max"/>
        <c:crossBetween val="between"/>
      </c:valAx>
      <c:catAx>
        <c:axId val="430503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05012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42862</xdr:rowOff>
    </xdr:from>
    <xdr:to>
      <xdr:col>11</xdr:col>
      <xdr:colOff>381000</xdr:colOff>
      <xdr:row>14</xdr:row>
      <xdr:rowOff>119062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14</xdr:row>
      <xdr:rowOff>80962</xdr:rowOff>
    </xdr:from>
    <xdr:to>
      <xdr:col>11</xdr:col>
      <xdr:colOff>381000</xdr:colOff>
      <xdr:row>28</xdr:row>
      <xdr:rowOff>157162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119062</xdr:rowOff>
    </xdr:from>
    <xdr:to>
      <xdr:col>11</xdr:col>
      <xdr:colOff>485775</xdr:colOff>
      <xdr:row>16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157162</xdr:rowOff>
    </xdr:from>
    <xdr:to>
      <xdr:col>14</xdr:col>
      <xdr:colOff>361950</xdr:colOff>
      <xdr:row>15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14" displayName="Table14" ref="A1:D22" totalsRowShown="0">
  <autoFilter ref="A1:D22"/>
  <tableColumns count="4">
    <tableColumn id="1" name="payment_mode_name"/>
    <tableColumn id="2" name="payment_type"/>
    <tableColumn id="3" name="transaction_count"/>
    <tableColumn id="4" name="total_amount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8" totalsRowShown="0">
  <autoFilter ref="A1:D18"/>
  <tableColumns count="4">
    <tableColumn id="1" name="branch_name"/>
    <tableColumn id="2" name="total_purchases"/>
    <tableColumn id="3" name="total_weight_grams"/>
    <tableColumn id="4" name="total_value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G15" totalsRowShown="0">
  <autoFilter ref="A1:G15"/>
  <tableColumns count="7">
    <tableColumn id="1" name="year"/>
    <tableColumn id="2" name="month_name"/>
    <tableColumn id="3" name="month_number"/>
    <tableColumn id="4" name="total_purchases"/>
    <tableColumn id="5" name="total_weight_grams"/>
    <tableColumn id="6" name="total_value"/>
    <tableColumn id="7" name="avg_purchase_valu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7" workbookViewId="0">
      <selection activeCell="D1" activeCellId="1" sqref="A1:A22 D1:D22"/>
    </sheetView>
  </sheetViews>
  <sheetFormatPr defaultRowHeight="15" x14ac:dyDescent="0.25"/>
  <cols>
    <col min="1" max="1" width="23.140625" customWidth="1"/>
    <col min="2" max="2" width="16" customWidth="1"/>
    <col min="3" max="3" width="19" customWidth="1"/>
    <col min="4" max="4" width="15.140625" customWidth="1"/>
  </cols>
  <sheetData>
    <row r="1" spans="1:4" x14ac:dyDescent="0.25">
      <c r="A1" t="s">
        <v>64</v>
      </c>
      <c r="B1" t="s">
        <v>63</v>
      </c>
      <c r="C1" t="s">
        <v>62</v>
      </c>
      <c r="D1" t="s">
        <v>61</v>
      </c>
    </row>
    <row r="2" spans="1:4" x14ac:dyDescent="0.25">
      <c r="A2" t="s">
        <v>45</v>
      </c>
      <c r="B2" t="s">
        <v>45</v>
      </c>
      <c r="C2">
        <v>43011</v>
      </c>
      <c r="D2">
        <v>211232815.15000001</v>
      </c>
    </row>
    <row r="3" spans="1:4" x14ac:dyDescent="0.25">
      <c r="A3" t="s">
        <v>60</v>
      </c>
      <c r="B3" t="s">
        <v>37</v>
      </c>
      <c r="C3">
        <v>22123</v>
      </c>
      <c r="D3">
        <v>92728268.949999899</v>
      </c>
    </row>
    <row r="4" spans="1:4" x14ac:dyDescent="0.25">
      <c r="A4" t="s">
        <v>59</v>
      </c>
      <c r="B4" t="s">
        <v>50</v>
      </c>
      <c r="C4">
        <v>1092</v>
      </c>
      <c r="D4">
        <v>13579045.689999999</v>
      </c>
    </row>
    <row r="5" spans="1:4" x14ac:dyDescent="0.25">
      <c r="A5" t="s">
        <v>58</v>
      </c>
      <c r="B5" t="s">
        <v>45</v>
      </c>
      <c r="C5">
        <v>2059</v>
      </c>
      <c r="D5">
        <v>13504771</v>
      </c>
    </row>
    <row r="6" spans="1:4" x14ac:dyDescent="0.25">
      <c r="A6" t="s">
        <v>57</v>
      </c>
      <c r="B6" t="s">
        <v>37</v>
      </c>
      <c r="C6">
        <v>1592</v>
      </c>
      <c r="D6">
        <v>6935427.75</v>
      </c>
    </row>
    <row r="7" spans="1:4" x14ac:dyDescent="0.25">
      <c r="A7" t="s">
        <v>56</v>
      </c>
      <c r="B7" t="s">
        <v>37</v>
      </c>
      <c r="C7">
        <v>1149</v>
      </c>
      <c r="D7">
        <v>4781197.8</v>
      </c>
    </row>
    <row r="8" spans="1:4" x14ac:dyDescent="0.25">
      <c r="A8" t="s">
        <v>55</v>
      </c>
      <c r="B8" t="s">
        <v>37</v>
      </c>
      <c r="C8">
        <v>650</v>
      </c>
      <c r="D8">
        <v>3024412</v>
      </c>
    </row>
    <row r="9" spans="1:4" x14ac:dyDescent="0.25">
      <c r="A9" t="s">
        <v>54</v>
      </c>
      <c r="B9" t="s">
        <v>37</v>
      </c>
      <c r="C9">
        <v>928</v>
      </c>
      <c r="D9">
        <v>2680632.98</v>
      </c>
    </row>
    <row r="10" spans="1:4" x14ac:dyDescent="0.25">
      <c r="A10" t="s">
        <v>53</v>
      </c>
      <c r="B10" t="s">
        <v>50</v>
      </c>
      <c r="C10">
        <v>21</v>
      </c>
      <c r="D10">
        <v>1725142</v>
      </c>
    </row>
    <row r="11" spans="1:4" x14ac:dyDescent="0.25">
      <c r="A11" t="s">
        <v>52</v>
      </c>
      <c r="B11" t="s">
        <v>50</v>
      </c>
      <c r="C11">
        <v>24</v>
      </c>
      <c r="D11">
        <v>767359.21</v>
      </c>
    </row>
    <row r="12" spans="1:4" x14ac:dyDescent="0.25">
      <c r="A12" t="s">
        <v>51</v>
      </c>
      <c r="B12" t="s">
        <v>50</v>
      </c>
      <c r="C12">
        <v>3</v>
      </c>
      <c r="D12">
        <v>611670</v>
      </c>
    </row>
    <row r="13" spans="1:4" x14ac:dyDescent="0.25">
      <c r="A13" t="s">
        <v>49</v>
      </c>
      <c r="B13" t="s">
        <v>37</v>
      </c>
      <c r="C13">
        <v>123</v>
      </c>
      <c r="D13">
        <v>396204</v>
      </c>
    </row>
    <row r="14" spans="1:4" x14ac:dyDescent="0.25">
      <c r="A14" t="s">
        <v>48</v>
      </c>
      <c r="B14" t="s">
        <v>37</v>
      </c>
      <c r="C14">
        <v>78</v>
      </c>
      <c r="D14">
        <v>369887</v>
      </c>
    </row>
    <row r="15" spans="1:4" x14ac:dyDescent="0.25">
      <c r="A15" t="s">
        <v>47</v>
      </c>
      <c r="B15" t="s">
        <v>37</v>
      </c>
      <c r="C15">
        <v>35</v>
      </c>
      <c r="D15">
        <v>151882</v>
      </c>
    </row>
    <row r="16" spans="1:4" x14ac:dyDescent="0.25">
      <c r="A16" t="s">
        <v>46</v>
      </c>
      <c r="B16" t="s">
        <v>45</v>
      </c>
      <c r="C16">
        <v>33</v>
      </c>
      <c r="D16">
        <v>58015.1499999999</v>
      </c>
    </row>
    <row r="17" spans="1:4" x14ac:dyDescent="0.25">
      <c r="A17" t="s">
        <v>44</v>
      </c>
      <c r="B17" t="s">
        <v>37</v>
      </c>
      <c r="C17">
        <v>11</v>
      </c>
      <c r="D17">
        <v>47650</v>
      </c>
    </row>
    <row r="18" spans="1:4" x14ac:dyDescent="0.25">
      <c r="A18" t="s">
        <v>43</v>
      </c>
      <c r="B18" t="s">
        <v>42</v>
      </c>
      <c r="C18">
        <v>254</v>
      </c>
      <c r="D18">
        <v>39975</v>
      </c>
    </row>
    <row r="19" spans="1:4" x14ac:dyDescent="0.25">
      <c r="A19" t="s">
        <v>41</v>
      </c>
      <c r="B19" t="s">
        <v>41</v>
      </c>
      <c r="C19">
        <v>1</v>
      </c>
      <c r="D19">
        <v>8070</v>
      </c>
    </row>
    <row r="20" spans="1:4" x14ac:dyDescent="0.25">
      <c r="A20" t="s">
        <v>40</v>
      </c>
      <c r="B20" t="s">
        <v>37</v>
      </c>
      <c r="C20">
        <v>1</v>
      </c>
      <c r="D20">
        <v>1260</v>
      </c>
    </row>
    <row r="21" spans="1:4" x14ac:dyDescent="0.25">
      <c r="A21" t="s">
        <v>39</v>
      </c>
      <c r="B21" t="s">
        <v>37</v>
      </c>
      <c r="C21">
        <v>1</v>
      </c>
      <c r="D21">
        <v>800</v>
      </c>
    </row>
    <row r="22" spans="1:4" x14ac:dyDescent="0.25">
      <c r="A22" t="s">
        <v>38</v>
      </c>
      <c r="B22" t="s">
        <v>37</v>
      </c>
      <c r="C22">
        <v>1</v>
      </c>
      <c r="D22">
        <v>250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K19" sqref="K19"/>
    </sheetView>
  </sheetViews>
  <sheetFormatPr defaultRowHeight="15" x14ac:dyDescent="0.25"/>
  <cols>
    <col min="1" max="1" width="15.140625" customWidth="1"/>
    <col min="2" max="2" width="17.140625" customWidth="1"/>
    <col min="3" max="3" width="20.7109375" customWidth="1"/>
    <col min="4" max="4" width="13.140625" customWidth="1"/>
  </cols>
  <sheetData>
    <row r="1" spans="1:4" x14ac:dyDescent="0.25">
      <c r="A1" t="s">
        <v>36</v>
      </c>
      <c r="B1" t="s">
        <v>3</v>
      </c>
      <c r="C1" t="s">
        <v>4</v>
      </c>
      <c r="D1" t="s">
        <v>5</v>
      </c>
    </row>
    <row r="2" spans="1:4" x14ac:dyDescent="0.25">
      <c r="A2" t="s">
        <v>35</v>
      </c>
      <c r="B2">
        <v>673</v>
      </c>
      <c r="C2">
        <v>21264.81</v>
      </c>
      <c r="D2">
        <v>7006699</v>
      </c>
    </row>
    <row r="3" spans="1:4" x14ac:dyDescent="0.25">
      <c r="A3" t="s">
        <v>34</v>
      </c>
      <c r="B3">
        <v>936</v>
      </c>
      <c r="C3">
        <v>42795.3299999999</v>
      </c>
      <c r="D3">
        <v>6819845.0599999996</v>
      </c>
    </row>
    <row r="4" spans="1:4" x14ac:dyDescent="0.25">
      <c r="A4" t="s">
        <v>33</v>
      </c>
      <c r="B4">
        <v>334</v>
      </c>
      <c r="C4">
        <v>10362.11</v>
      </c>
      <c r="D4">
        <v>3221652.89</v>
      </c>
    </row>
    <row r="5" spans="1:4" x14ac:dyDescent="0.25">
      <c r="A5" t="s">
        <v>32</v>
      </c>
      <c r="B5">
        <v>483</v>
      </c>
      <c r="C5">
        <v>7676.6199999999899</v>
      </c>
      <c r="D5">
        <v>3008394</v>
      </c>
    </row>
    <row r="6" spans="1:4" x14ac:dyDescent="0.25">
      <c r="A6" t="s">
        <v>31</v>
      </c>
      <c r="B6">
        <v>464</v>
      </c>
      <c r="C6">
        <v>6326.53</v>
      </c>
      <c r="D6">
        <v>2429815.81</v>
      </c>
    </row>
    <row r="7" spans="1:4" x14ac:dyDescent="0.25">
      <c r="A7" t="s">
        <v>30</v>
      </c>
      <c r="B7">
        <v>255</v>
      </c>
      <c r="C7">
        <v>6692.95</v>
      </c>
      <c r="D7">
        <v>2392870</v>
      </c>
    </row>
    <row r="8" spans="1:4" x14ac:dyDescent="0.25">
      <c r="A8" t="s">
        <v>29</v>
      </c>
      <c r="B8">
        <v>402</v>
      </c>
      <c r="C8">
        <v>11473.8399999999</v>
      </c>
      <c r="D8">
        <v>2173825.0299999998</v>
      </c>
    </row>
    <row r="9" spans="1:4" x14ac:dyDescent="0.25">
      <c r="A9" t="s">
        <v>28</v>
      </c>
      <c r="B9">
        <v>312</v>
      </c>
      <c r="C9">
        <v>5414.68</v>
      </c>
      <c r="D9">
        <v>2066106</v>
      </c>
    </row>
    <row r="10" spans="1:4" x14ac:dyDescent="0.25">
      <c r="A10" t="s">
        <v>27</v>
      </c>
      <c r="B10">
        <v>372</v>
      </c>
      <c r="C10">
        <v>6020.5199999999904</v>
      </c>
      <c r="D10">
        <v>1946215.0899999901</v>
      </c>
    </row>
    <row r="11" spans="1:4" x14ac:dyDescent="0.25">
      <c r="A11" t="s">
        <v>26</v>
      </c>
      <c r="B11">
        <v>402</v>
      </c>
      <c r="C11">
        <v>6990.18</v>
      </c>
      <c r="D11">
        <v>1899770</v>
      </c>
    </row>
    <row r="12" spans="1:4" x14ac:dyDescent="0.25">
      <c r="A12" t="s">
        <v>25</v>
      </c>
      <c r="B12">
        <v>220</v>
      </c>
      <c r="C12">
        <v>3285.59</v>
      </c>
      <c r="D12">
        <v>1309133</v>
      </c>
    </row>
    <row r="13" spans="1:4" x14ac:dyDescent="0.25">
      <c r="A13" t="s">
        <v>24</v>
      </c>
      <c r="B13">
        <v>208</v>
      </c>
      <c r="C13">
        <v>2795.03999999999</v>
      </c>
      <c r="D13">
        <v>1066405</v>
      </c>
    </row>
    <row r="14" spans="1:4" x14ac:dyDescent="0.25">
      <c r="A14" t="s">
        <v>23</v>
      </c>
      <c r="B14">
        <v>118</v>
      </c>
      <c r="C14">
        <v>3042.6089999999999</v>
      </c>
      <c r="D14">
        <v>919710</v>
      </c>
    </row>
    <row r="15" spans="1:4" x14ac:dyDescent="0.25">
      <c r="A15" t="s">
        <v>22</v>
      </c>
      <c r="B15">
        <v>70</v>
      </c>
      <c r="C15">
        <v>1833.2059999999999</v>
      </c>
      <c r="D15">
        <v>544195.19999999995</v>
      </c>
    </row>
    <row r="16" spans="1:4" x14ac:dyDescent="0.25">
      <c r="A16" t="s">
        <v>21</v>
      </c>
      <c r="B16">
        <v>13</v>
      </c>
      <c r="C16">
        <v>6100.3</v>
      </c>
      <c r="D16">
        <v>440613</v>
      </c>
    </row>
    <row r="17" spans="1:4" x14ac:dyDescent="0.25">
      <c r="A17" t="s">
        <v>20</v>
      </c>
      <c r="B17">
        <v>91</v>
      </c>
      <c r="C17">
        <v>1404.8699999999899</v>
      </c>
      <c r="D17">
        <v>427930</v>
      </c>
    </row>
    <row r="18" spans="1:4" x14ac:dyDescent="0.25">
      <c r="A18" t="s">
        <v>19</v>
      </c>
      <c r="B18">
        <v>26</v>
      </c>
      <c r="C18">
        <v>274.2</v>
      </c>
      <c r="D18">
        <v>82980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L19" sqref="L19"/>
    </sheetView>
  </sheetViews>
  <sheetFormatPr defaultRowHeight="15" x14ac:dyDescent="0.25"/>
  <cols>
    <col min="2" max="2" width="15" customWidth="1"/>
    <col min="3" max="3" width="17" customWidth="1"/>
    <col min="4" max="4" width="17.140625" customWidth="1"/>
    <col min="5" max="5" width="20.7109375" customWidth="1"/>
    <col min="6" max="6" width="13.140625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2025</v>
      </c>
      <c r="B2" t="s">
        <v>7</v>
      </c>
      <c r="C2">
        <v>1</v>
      </c>
      <c r="D2">
        <v>316</v>
      </c>
      <c r="E2">
        <v>7451.8450000000003</v>
      </c>
      <c r="F2">
        <v>2170767.2000000002</v>
      </c>
      <c r="G2">
        <v>6869.5164556962</v>
      </c>
    </row>
    <row r="3" spans="1:7" x14ac:dyDescent="0.25">
      <c r="A3">
        <v>2025</v>
      </c>
      <c r="B3" t="s">
        <v>8</v>
      </c>
      <c r="C3">
        <v>2</v>
      </c>
      <c r="D3">
        <v>458</v>
      </c>
      <c r="E3">
        <v>13346.199999999901</v>
      </c>
      <c r="F3">
        <v>2590782</v>
      </c>
      <c r="G3">
        <v>5656.7292576419204</v>
      </c>
    </row>
    <row r="4" spans="1:7" x14ac:dyDescent="0.25">
      <c r="A4">
        <v>2025</v>
      </c>
      <c r="B4" t="s">
        <v>9</v>
      </c>
      <c r="C4">
        <v>3</v>
      </c>
      <c r="D4">
        <v>417</v>
      </c>
      <c r="E4">
        <v>8873.39</v>
      </c>
      <c r="F4">
        <v>2874102</v>
      </c>
      <c r="G4">
        <v>6892.3309352517899</v>
      </c>
    </row>
    <row r="5" spans="1:7" x14ac:dyDescent="0.25">
      <c r="A5">
        <v>2025</v>
      </c>
      <c r="B5" t="s">
        <v>10</v>
      </c>
      <c r="C5">
        <v>4</v>
      </c>
      <c r="D5">
        <v>438</v>
      </c>
      <c r="E5">
        <v>13533.779999999901</v>
      </c>
      <c r="F5">
        <v>2984531.03</v>
      </c>
      <c r="G5">
        <v>6813.9977853881201</v>
      </c>
    </row>
    <row r="6" spans="1:7" x14ac:dyDescent="0.25">
      <c r="A6">
        <v>2025</v>
      </c>
      <c r="B6" t="s">
        <v>11</v>
      </c>
      <c r="C6">
        <v>5</v>
      </c>
      <c r="D6">
        <v>416</v>
      </c>
      <c r="E6">
        <v>10038.029999999901</v>
      </c>
      <c r="F6">
        <v>3222487.15</v>
      </c>
      <c r="G6">
        <v>7746.3633413461503</v>
      </c>
    </row>
    <row r="7" spans="1:7" x14ac:dyDescent="0.25">
      <c r="A7">
        <v>2025</v>
      </c>
      <c r="B7" t="s">
        <v>12</v>
      </c>
      <c r="C7">
        <v>6</v>
      </c>
      <c r="D7">
        <v>324</v>
      </c>
      <c r="E7">
        <v>5939.04</v>
      </c>
      <c r="F7">
        <v>2203419.81</v>
      </c>
      <c r="G7">
        <v>6800.6784259259202</v>
      </c>
    </row>
    <row r="8" spans="1:7" x14ac:dyDescent="0.25">
      <c r="A8">
        <v>2025</v>
      </c>
      <c r="B8" t="s">
        <v>13</v>
      </c>
      <c r="C8">
        <v>7</v>
      </c>
      <c r="D8">
        <v>376</v>
      </c>
      <c r="E8">
        <v>9990.35</v>
      </c>
      <c r="F8">
        <v>3226207</v>
      </c>
      <c r="G8">
        <v>8580.3377659574398</v>
      </c>
    </row>
    <row r="9" spans="1:7" x14ac:dyDescent="0.25">
      <c r="A9">
        <v>2025</v>
      </c>
      <c r="B9" t="s">
        <v>14</v>
      </c>
      <c r="C9">
        <v>8</v>
      </c>
      <c r="D9">
        <v>369</v>
      </c>
      <c r="E9">
        <v>8717.52</v>
      </c>
      <c r="F9">
        <v>2482782</v>
      </c>
      <c r="G9">
        <v>6728.4065040650403</v>
      </c>
    </row>
    <row r="10" spans="1:7" x14ac:dyDescent="0.25">
      <c r="A10">
        <v>2025</v>
      </c>
      <c r="B10" t="s">
        <v>15</v>
      </c>
      <c r="C10">
        <v>9</v>
      </c>
      <c r="D10">
        <v>381</v>
      </c>
      <c r="E10">
        <v>6522.1</v>
      </c>
      <c r="F10">
        <v>2573173</v>
      </c>
      <c r="G10">
        <v>6753.73490813648</v>
      </c>
    </row>
    <row r="11" spans="1:7" x14ac:dyDescent="0.25">
      <c r="A11">
        <v>2025</v>
      </c>
      <c r="B11" t="s">
        <v>16</v>
      </c>
      <c r="C11">
        <v>10</v>
      </c>
      <c r="D11">
        <v>447</v>
      </c>
      <c r="E11">
        <v>11921.369999999901</v>
      </c>
      <c r="F11">
        <v>3451236</v>
      </c>
      <c r="G11">
        <v>7720.8859060402601</v>
      </c>
    </row>
    <row r="12" spans="1:7" x14ac:dyDescent="0.25">
      <c r="A12">
        <v>2025</v>
      </c>
      <c r="B12" t="s">
        <v>17</v>
      </c>
      <c r="C12">
        <v>11</v>
      </c>
      <c r="D12">
        <v>370</v>
      </c>
      <c r="E12">
        <v>6046.62</v>
      </c>
      <c r="F12">
        <v>2212460</v>
      </c>
      <c r="G12">
        <v>5979.6216216216199</v>
      </c>
    </row>
    <row r="13" spans="1:7" x14ac:dyDescent="0.25">
      <c r="A13">
        <v>2025</v>
      </c>
      <c r="B13" t="s">
        <v>18</v>
      </c>
      <c r="C13">
        <v>12</v>
      </c>
      <c r="D13">
        <v>433</v>
      </c>
      <c r="E13">
        <v>13567.45</v>
      </c>
      <c r="F13">
        <v>2671482.89</v>
      </c>
      <c r="G13">
        <v>6169.7064434180102</v>
      </c>
    </row>
    <row r="14" spans="1:7" x14ac:dyDescent="0.25">
      <c r="A14">
        <v>2026</v>
      </c>
      <c r="B14" t="s">
        <v>7</v>
      </c>
      <c r="C14">
        <v>1</v>
      </c>
      <c r="D14">
        <v>484</v>
      </c>
      <c r="E14">
        <v>25913.22</v>
      </c>
      <c r="F14">
        <v>4078874</v>
      </c>
      <c r="G14">
        <v>8427.4256198347102</v>
      </c>
    </row>
    <row r="15" spans="1:7" x14ac:dyDescent="0.25">
      <c r="A15">
        <v>2026</v>
      </c>
      <c r="B15" t="s">
        <v>8</v>
      </c>
      <c r="C15">
        <v>2</v>
      </c>
      <c r="D15">
        <v>150</v>
      </c>
      <c r="E15">
        <v>1892.47</v>
      </c>
      <c r="F15">
        <v>1013855</v>
      </c>
      <c r="G15">
        <v>6759.0333333333301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 mode</vt:lpstr>
      <vt:lpstr>oldgold buyback branch</vt:lpstr>
      <vt:lpstr>old gold buyback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</dc:creator>
  <cp:lastModifiedBy>Aliya</cp:lastModifiedBy>
  <dcterms:created xsi:type="dcterms:W3CDTF">2026-07-17T14:22:27Z</dcterms:created>
  <dcterms:modified xsi:type="dcterms:W3CDTF">2026-07-17T14:22:27Z</dcterms:modified>
</cp:coreProperties>
</file>