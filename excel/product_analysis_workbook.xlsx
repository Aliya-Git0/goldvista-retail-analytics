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ya\OneDrive\Desktop\Gold Analytics\excel\"/>
    </mc:Choice>
  </mc:AlternateContent>
  <bookViews>
    <workbookView xWindow="0" yWindow="0" windowWidth="20490" windowHeight="8205" activeTab="1"/>
  </bookViews>
  <sheets>
    <sheet name="Table of Contents" sheetId="5" r:id="rId1"/>
    <sheet name="Pivot" sheetId="2" r:id="rId2"/>
    <sheet name="prod_karat" sheetId="1" r:id="rId3"/>
    <sheet name="ABC_analysis" sheetId="4" r:id="rId4"/>
  </sheets>
  <definedNames>
    <definedName name="Slicer_karat_name">#N/A</definedName>
  </definedNames>
  <calcPr calcId="0"/>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alcChain>
</file>

<file path=xl/sharedStrings.xml><?xml version="1.0" encoding="utf-8"?>
<sst xmlns="http://schemas.openxmlformats.org/spreadsheetml/2006/main" count="168" uniqueCount="91">
  <si>
    <t>item_type_name</t>
  </si>
  <si>
    <t>karat_name</t>
  </si>
  <si>
    <t>total_revenue</t>
  </si>
  <si>
    <t>total_weight</t>
  </si>
  <si>
    <t>total_making_charge</t>
  </si>
  <si>
    <t>avg_making_rate_per_gram</t>
  </si>
  <si>
    <t>invoice_count</t>
  </si>
  <si>
    <t>GOLD</t>
  </si>
  <si>
    <t>CHAIN</t>
  </si>
  <si>
    <t>NECKLACE</t>
  </si>
  <si>
    <t>BANGLE</t>
  </si>
  <si>
    <t>EARING</t>
  </si>
  <si>
    <t>RING</t>
  </si>
  <si>
    <t>PRESELT</t>
  </si>
  <si>
    <t>SILVER</t>
  </si>
  <si>
    <t>Silver Bar</t>
  </si>
  <si>
    <t>21 KR OLD GOLD</t>
  </si>
  <si>
    <t>COIN</t>
  </si>
  <si>
    <t>22 KR OLD GOLD</t>
  </si>
  <si>
    <t>LOKET</t>
  </si>
  <si>
    <t>ANKLET</t>
  </si>
  <si>
    <t>WRING</t>
  </si>
  <si>
    <t>BALAK</t>
  </si>
  <si>
    <t>BLACK NEKLESE</t>
  </si>
  <si>
    <t>24KR OLD GOLD</t>
  </si>
  <si>
    <t>TICKLY</t>
  </si>
  <si>
    <t>KAF</t>
  </si>
  <si>
    <t>GOLD WATCH</t>
  </si>
  <si>
    <t>BELT</t>
  </si>
  <si>
    <t>CHAINTH</t>
  </si>
  <si>
    <t>MG</t>
  </si>
  <si>
    <t>Silver Bangle</t>
  </si>
  <si>
    <t>Nosepin</t>
  </si>
  <si>
    <t>Row Labels</t>
  </si>
  <si>
    <t>Grand Total</t>
  </si>
  <si>
    <t>Sum of total_revenue</t>
  </si>
  <si>
    <t>Sum of total_making_charge</t>
  </si>
  <si>
    <t>Sum of total_weight</t>
  </si>
  <si>
    <t>BOX</t>
  </si>
  <si>
    <t>PRIVET</t>
  </si>
  <si>
    <t>NULL</t>
  </si>
  <si>
    <t>PEARL</t>
  </si>
  <si>
    <t>DEFLWR</t>
  </si>
  <si>
    <t>GLLKT</t>
  </si>
  <si>
    <t>DIAMOND EYE EARING</t>
  </si>
  <si>
    <t>DBMLY</t>
  </si>
  <si>
    <t>DBMLW</t>
  </si>
  <si>
    <t>Dmnd Pentand</t>
  </si>
  <si>
    <t>LOHRTB</t>
  </si>
  <si>
    <t>DIAMOND SILVER RING</t>
  </si>
  <si>
    <t>DR FLOWER WHITE SMAL</t>
  </si>
  <si>
    <t>DR DELUXE WHITE</t>
  </si>
  <si>
    <t>DR FLOWER WHITE BIG</t>
  </si>
  <si>
    <t>DBR FLOWER</t>
  </si>
  <si>
    <t>DELUXE</t>
  </si>
  <si>
    <t>JAUHARA</t>
  </si>
  <si>
    <t>DR MYLOVE WHITE SMAL</t>
  </si>
  <si>
    <t>DN HEART</t>
  </si>
  <si>
    <t>DN FLOWER BIG</t>
  </si>
  <si>
    <t>DN FLOWER SMALL</t>
  </si>
  <si>
    <t>PREMIUM</t>
  </si>
  <si>
    <t>DR WAVE WHITE</t>
  </si>
  <si>
    <t>Dmnd Brancelate</t>
  </si>
  <si>
    <t>DREYEWB</t>
  </si>
  <si>
    <t>DNMYL</t>
  </si>
  <si>
    <t>DR WAVE YELLOW</t>
  </si>
  <si>
    <t>Spain Earing</t>
  </si>
  <si>
    <t>DR MYLOVE WHITE BIG</t>
  </si>
  <si>
    <t>Dmnd Necklace</t>
  </si>
  <si>
    <t>FLOWER</t>
  </si>
  <si>
    <t>DR FLOWER YELLW SMAL</t>
  </si>
  <si>
    <t>DR DELUXE YELLW</t>
  </si>
  <si>
    <t>DE FLOWER</t>
  </si>
  <si>
    <t>DREYEYB</t>
  </si>
  <si>
    <t>DR FLOWER YELLW BIG</t>
  </si>
  <si>
    <t>PERFUME</t>
  </si>
  <si>
    <t>DREYEWS</t>
  </si>
  <si>
    <t>DR MYLOVE YELLW SMAL</t>
  </si>
  <si>
    <t>DEML</t>
  </si>
  <si>
    <t>DR MYLOVE YELLW BIG</t>
  </si>
  <si>
    <t>DMND Earing</t>
  </si>
  <si>
    <t>DREYEYS</t>
  </si>
  <si>
    <t>Dmnd Ring</t>
  </si>
  <si>
    <t>Dmnd Nosepin</t>
  </si>
  <si>
    <t>ABC</t>
  </si>
  <si>
    <t>cumulative_pct</t>
  </si>
  <si>
    <t>grand_total</t>
  </si>
  <si>
    <t>running_total</t>
  </si>
  <si>
    <t>prod_karat!A1</t>
  </si>
  <si>
    <t>Pivot!A1</t>
  </si>
  <si>
    <t>ABC_analysis!A1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</si>
</sst>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u/>
      <sz val="11"/>
      <color theme="1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[prod_karat.xlsx]Pivot!PivotTable2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Sum of total_revenue</c:v>
                </c:pt>
              </c:strCache>
            </c:strRef>
          </c:tx>
          <c:spPr>
            <a:solidFill>
              <a:schemeClr val="accent1"/>
            </a:solidFill>
            <a:ln>
              <a:noFill/>
            </a:ln>
            <a:effectLst/>
          </c:spPr>
          <c:invertIfNegative val="0"/>
          <c:cat>
            <c:strRef>
              <c:f>Pivot!$A$4:$A$30</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Pivot!$B$4:$B$30</c:f>
              <c:numCache>
                <c:formatCode>General</c:formatCode>
                <c:ptCount val="26"/>
                <c:pt idx="0">
                  <c:v>7950892.2000000002</c:v>
                </c:pt>
                <c:pt idx="1">
                  <c:v>5986062</c:v>
                </c:pt>
                <c:pt idx="2">
                  <c:v>405365</c:v>
                </c:pt>
                <c:pt idx="3">
                  <c:v>3516054</c:v>
                </c:pt>
                <c:pt idx="4">
                  <c:v>728003</c:v>
                </c:pt>
                <c:pt idx="5">
                  <c:v>35361585.5</c:v>
                </c:pt>
                <c:pt idx="6">
                  <c:v>147451</c:v>
                </c:pt>
                <c:pt idx="7">
                  <c:v>577485</c:v>
                </c:pt>
                <c:pt idx="8">
                  <c:v>56492361.530000001</c:v>
                </c:pt>
                <c:pt idx="9">
                  <c:v>63835</c:v>
                </c:pt>
                <c:pt idx="10">
                  <c:v>7330642.23999999</c:v>
                </c:pt>
                <c:pt idx="11">
                  <c:v>29694024.82</c:v>
                </c:pt>
                <c:pt idx="12">
                  <c:v>100069410.099999</c:v>
                </c:pt>
                <c:pt idx="13">
                  <c:v>200836.99</c:v>
                </c:pt>
                <c:pt idx="14">
                  <c:v>280995</c:v>
                </c:pt>
                <c:pt idx="15">
                  <c:v>3789460.5</c:v>
                </c:pt>
                <c:pt idx="16">
                  <c:v>26830</c:v>
                </c:pt>
                <c:pt idx="17">
                  <c:v>36910202.639999993</c:v>
                </c:pt>
                <c:pt idx="18">
                  <c:v>8405</c:v>
                </c:pt>
                <c:pt idx="19">
                  <c:v>10323896.449999999</c:v>
                </c:pt>
                <c:pt idx="20">
                  <c:v>17149325.589999903</c:v>
                </c:pt>
                <c:pt idx="21">
                  <c:v>10146303.43</c:v>
                </c:pt>
                <c:pt idx="22">
                  <c:v>9832.49</c:v>
                </c:pt>
                <c:pt idx="23">
                  <c:v>8872214.25</c:v>
                </c:pt>
                <c:pt idx="24">
                  <c:v>287150</c:v>
                </c:pt>
                <c:pt idx="25">
                  <c:v>2353498.9900000002</c:v>
                </c:pt>
              </c:numCache>
            </c:numRef>
          </c:val>
          <c:extLst>
            <c:ext xmlns:c16="http://schemas.microsoft.com/office/drawing/2014/chart" uri="{C3380CC4-5D6E-409C-BE32-E72D297353CC}">
              <c16:uniqueId val="{00000000-4E6A-43E5-B743-5036ED521C2C}"/>
            </c:ext>
          </c:extLst>
        </c:ser>
        <c:ser>
          <c:idx val="1"/>
          <c:order val="1"/>
          <c:tx>
            <c:strRef>
              <c:f>Pivot!$C$3</c:f>
              <c:strCache>
                <c:ptCount val="1"/>
                <c:pt idx="0">
                  <c:v>Sum of total_weight</c:v>
                </c:pt>
              </c:strCache>
            </c:strRef>
          </c:tx>
          <c:spPr>
            <a:solidFill>
              <a:schemeClr val="accent2"/>
            </a:solidFill>
            <a:ln>
              <a:noFill/>
            </a:ln>
            <a:effectLst/>
          </c:spPr>
          <c:invertIfNegative val="0"/>
          <c:cat>
            <c:strRef>
              <c:f>Pivot!$A$4:$A$30</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Pivot!$C$4:$C$30</c:f>
              <c:numCache>
                <c:formatCode>General</c:formatCode>
                <c:ptCount val="26"/>
                <c:pt idx="0">
                  <c:v>21621.820999999902</c:v>
                </c:pt>
                <c:pt idx="1">
                  <c:v>15751.7</c:v>
                </c:pt>
                <c:pt idx="2">
                  <c:v>1015.6</c:v>
                </c:pt>
                <c:pt idx="3">
                  <c:v>8130.9</c:v>
                </c:pt>
                <c:pt idx="4">
                  <c:v>1534.16</c:v>
                </c:pt>
                <c:pt idx="5">
                  <c:v>81652.469999999885</c:v>
                </c:pt>
                <c:pt idx="6">
                  <c:v>331.79999999999899</c:v>
                </c:pt>
                <c:pt idx="7">
                  <c:v>1282.96999999999</c:v>
                </c:pt>
                <c:pt idx="8">
                  <c:v>130252.10900000001</c:v>
                </c:pt>
                <c:pt idx="9">
                  <c:v>142.18</c:v>
                </c:pt>
                <c:pt idx="10">
                  <c:v>17767.349999999999</c:v>
                </c:pt>
                <c:pt idx="11">
                  <c:v>63679.369999999799</c:v>
                </c:pt>
                <c:pt idx="12">
                  <c:v>225556.69200000499</c:v>
                </c:pt>
                <c:pt idx="13">
                  <c:v>374.73</c:v>
                </c:pt>
                <c:pt idx="14">
                  <c:v>596.9</c:v>
                </c:pt>
                <c:pt idx="15">
                  <c:v>7994.6800000000103</c:v>
                </c:pt>
                <c:pt idx="16">
                  <c:v>48.4299999999999</c:v>
                </c:pt>
                <c:pt idx="17">
                  <c:v>82739.5989999999</c:v>
                </c:pt>
                <c:pt idx="18">
                  <c:v>9.7999999999999901</c:v>
                </c:pt>
                <c:pt idx="19">
                  <c:v>22656.359999999899</c:v>
                </c:pt>
                <c:pt idx="20">
                  <c:v>35640.583999999595</c:v>
                </c:pt>
                <c:pt idx="21">
                  <c:v>930550.1</c:v>
                </c:pt>
                <c:pt idx="22">
                  <c:v>767.7</c:v>
                </c:pt>
                <c:pt idx="23">
                  <c:v>754340.69999999902</c:v>
                </c:pt>
                <c:pt idx="24">
                  <c:v>620.17999999999995</c:v>
                </c:pt>
                <c:pt idx="25">
                  <c:v>4696.29</c:v>
                </c:pt>
              </c:numCache>
            </c:numRef>
          </c:val>
          <c:extLst>
            <c:ext xmlns:c16="http://schemas.microsoft.com/office/drawing/2014/chart" uri="{C3380CC4-5D6E-409C-BE32-E72D297353CC}">
              <c16:uniqueId val="{00000001-4E6A-43E5-B743-5036ED521C2C}"/>
            </c:ext>
          </c:extLst>
        </c:ser>
        <c:ser>
          <c:idx val="2"/>
          <c:order val="2"/>
          <c:tx>
            <c:strRef>
              <c:f>Pivot!$D$3</c:f>
              <c:strCache>
                <c:ptCount val="1"/>
                <c:pt idx="0">
                  <c:v>Sum of total_making_charge</c:v>
                </c:pt>
              </c:strCache>
            </c:strRef>
          </c:tx>
          <c:spPr>
            <a:solidFill>
              <a:schemeClr val="accent3"/>
            </a:solidFill>
            <a:ln>
              <a:noFill/>
            </a:ln>
            <a:effectLst/>
          </c:spPr>
          <c:invertIfNegative val="0"/>
          <c:cat>
            <c:strRef>
              <c:f>Pivot!$A$4:$A$30</c:f>
              <c:strCache>
                <c:ptCount val="26"/>
                <c:pt idx="0">
                  <c:v>21 KR OLD GOLD</c:v>
                </c:pt>
                <c:pt idx="1">
                  <c:v>22 KR OLD GOLD</c:v>
                </c:pt>
                <c:pt idx="2">
                  <c:v>24KR OLD GOLD</c:v>
                </c:pt>
                <c:pt idx="3">
                  <c:v>ANKLET</c:v>
                </c:pt>
                <c:pt idx="4">
                  <c:v>BALAK</c:v>
                </c:pt>
                <c:pt idx="5">
                  <c:v>BANGLE</c:v>
                </c:pt>
                <c:pt idx="6">
                  <c:v>BELT</c:v>
                </c:pt>
                <c:pt idx="7">
                  <c:v>BLACK NEKLESE</c:v>
                </c:pt>
                <c:pt idx="8">
                  <c:v>CHAIN</c:v>
                </c:pt>
                <c:pt idx="9">
                  <c:v>CHAINTH</c:v>
                </c:pt>
                <c:pt idx="10">
                  <c:v>COIN</c:v>
                </c:pt>
                <c:pt idx="11">
                  <c:v>EARING</c:v>
                </c:pt>
                <c:pt idx="12">
                  <c:v>GOLD</c:v>
                </c:pt>
                <c:pt idx="13">
                  <c:v>GOLD WATCH</c:v>
                </c:pt>
                <c:pt idx="14">
                  <c:v>KAF</c:v>
                </c:pt>
                <c:pt idx="15">
                  <c:v>LOKET</c:v>
                </c:pt>
                <c:pt idx="16">
                  <c:v>MG</c:v>
                </c:pt>
                <c:pt idx="17">
                  <c:v>NECKLACE</c:v>
                </c:pt>
                <c:pt idx="18">
                  <c:v>Nosepin</c:v>
                </c:pt>
                <c:pt idx="19">
                  <c:v>PRESELT</c:v>
                </c:pt>
                <c:pt idx="20">
                  <c:v>RING</c:v>
                </c:pt>
                <c:pt idx="21">
                  <c:v>SILVER</c:v>
                </c:pt>
                <c:pt idx="22">
                  <c:v>Silver Bangle</c:v>
                </c:pt>
                <c:pt idx="23">
                  <c:v>Silver Bar</c:v>
                </c:pt>
                <c:pt idx="24">
                  <c:v>TICKLY</c:v>
                </c:pt>
                <c:pt idx="25">
                  <c:v>WRING</c:v>
                </c:pt>
              </c:strCache>
            </c:strRef>
          </c:cat>
          <c:val>
            <c:numRef>
              <c:f>Pivot!$D$4:$D$30</c:f>
              <c:numCache>
                <c:formatCode>General</c:formatCode>
                <c:ptCount val="26"/>
                <c:pt idx="0">
                  <c:v>64462.09</c:v>
                </c:pt>
                <c:pt idx="1">
                  <c:v>64360.7</c:v>
                </c:pt>
                <c:pt idx="2">
                  <c:v>4321.9799999999996</c:v>
                </c:pt>
                <c:pt idx="3">
                  <c:v>368643.89</c:v>
                </c:pt>
                <c:pt idx="4">
                  <c:v>105655.92999999899</c:v>
                </c:pt>
                <c:pt idx="5">
                  <c:v>3575692.03000001</c:v>
                </c:pt>
                <c:pt idx="6">
                  <c:v>13837.57</c:v>
                </c:pt>
                <c:pt idx="7">
                  <c:v>98181.809999999896</c:v>
                </c:pt>
                <c:pt idx="8">
                  <c:v>5718925.6900000395</c:v>
                </c:pt>
                <c:pt idx="9">
                  <c:v>8893.92</c:v>
                </c:pt>
                <c:pt idx="10">
                  <c:v>266362.57</c:v>
                </c:pt>
                <c:pt idx="11">
                  <c:v>4749437.6999999806</c:v>
                </c:pt>
                <c:pt idx="12">
                  <c:v>2556217.13</c:v>
                </c:pt>
                <c:pt idx="13">
                  <c:v>37421.96</c:v>
                </c:pt>
                <c:pt idx="14">
                  <c:v>37213.81</c:v>
                </c:pt>
                <c:pt idx="15">
                  <c:v>696468.89999999793</c:v>
                </c:pt>
                <c:pt idx="16">
                  <c:v>8005.32</c:v>
                </c:pt>
                <c:pt idx="17">
                  <c:v>4514481.0599999996</c:v>
                </c:pt>
                <c:pt idx="18">
                  <c:v>3718.49999999999</c:v>
                </c:pt>
                <c:pt idx="19">
                  <c:v>1490073.13</c:v>
                </c:pt>
                <c:pt idx="20">
                  <c:v>3162144.3900000094</c:v>
                </c:pt>
                <c:pt idx="21">
                  <c:v>819216.49999999895</c:v>
                </c:pt>
                <c:pt idx="22">
                  <c:v>4884.1799999999903</c:v>
                </c:pt>
                <c:pt idx="23">
                  <c:v>552728.38999999897</c:v>
                </c:pt>
                <c:pt idx="24">
                  <c:v>34017.959999999897</c:v>
                </c:pt>
                <c:pt idx="25">
                  <c:v>457266.88999999996</c:v>
                </c:pt>
              </c:numCache>
            </c:numRef>
          </c:val>
          <c:extLst>
            <c:ext xmlns:c16="http://schemas.microsoft.com/office/drawing/2014/chart" uri="{C3380CC4-5D6E-409C-BE32-E72D297353CC}">
              <c16:uniqueId val="{00000002-4E6A-43E5-B743-5036ED521C2C}"/>
            </c:ext>
          </c:extLst>
        </c:ser>
        <c:dLbls>
          <c:showLegendKey val="0"/>
          <c:showVal val="0"/>
          <c:showCatName val="0"/>
          <c:showSerName val="0"/>
          <c:showPercent val="0"/>
          <c:showBubbleSize val="0"/>
        </c:dLbls>
        <c:gapWidth val="219"/>
        <c:overlap val="-27"/>
        <c:axId val="433484511"/>
        <c:axId val="433485343"/>
      </c:barChart>
      <c:catAx>
        <c:axId val="43348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485343"/>
        <c:crosses val="autoZero"/>
        <c:auto val="1"/>
        <c:lblAlgn val="ctr"/>
        <c:lblOffset val="100"/>
        <c:noMultiLvlLbl val="0"/>
      </c:catAx>
      <c:valAx>
        <c:axId val="43348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4845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466725</xdr:colOff>
      <xdr:row>15</xdr:row>
      <xdr:rowOff>47625</xdr:rowOff>
    </xdr:to>
    <mc:AlternateContent xmlns:mc="http://schemas.openxmlformats.org/markup-compatibility/2006">
      <mc:Choice xmlns:a14="http://schemas.microsoft.com/office/drawing/2010/main" Requires="a14">
        <xdr:graphicFrame macro="">
          <xdr:nvGraphicFramePr>
            <xdr:cNvPr id="2" name="karat_name"/>
            <xdr:cNvGraphicFramePr/>
          </xdr:nvGraphicFramePr>
          <xdr:xfrm>
            <a:off x="0" y="0"/>
            <a:ext cx="0" cy="0"/>
          </xdr:xfrm>
          <a:graphic>
            <a:graphicData uri="http://schemas.microsoft.com/office/drawing/2010/slicer">
              <sle:slicer xmlns:sle="http://schemas.microsoft.com/office/drawing/2010/slicer" name="karat_name"/>
            </a:graphicData>
          </a:graphic>
        </xdr:graphicFrame>
      </mc:Choice>
      <mc:Fallback>
        <xdr:sp macro="" textlink="">
          <xdr:nvSpPr>
            <xdr:cNvPr id="0" name=""/>
            <xdr:cNvSpPr>
              <a:spLocks noTextEdit="1"/>
            </xdr:cNvSpPr>
          </xdr:nvSpPr>
          <xdr:spPr>
            <a:xfrm>
              <a:off x="5419725" y="381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xdr:colOff>
      <xdr:row>15</xdr:row>
      <xdr:rowOff>52387</xdr:rowOff>
    </xdr:from>
    <xdr:to>
      <xdr:col>7</xdr:col>
      <xdr:colOff>176212</xdr:colOff>
      <xdr:row>29</xdr:row>
      <xdr:rowOff>128587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iya" refreshedDate="46220.65212337963" createdVersion="6" refreshedVersion="6" minRefreshableVersion="3" recordCount="46">
  <cacheSource type="worksheet">
    <worksheetSource name="Table1"/>
  </cacheSource>
  <cacheFields count="7">
    <cacheField name="item_type_name" numFmtId="0">
      <sharedItems count="26">
        <s v="GOLD"/>
        <s v="CHAIN"/>
        <s v="NECKLACE"/>
        <s v="BANGLE"/>
        <s v="EARING"/>
        <s v="RING"/>
        <s v="PRESELT"/>
        <s v="SILVER"/>
        <s v="Silver Bar"/>
        <s v="21 KR OLD GOLD"/>
        <s v="COIN"/>
        <s v="22 KR OLD GOLD"/>
        <s v="LOKET"/>
        <s v="ANKLET"/>
        <s v="WRING"/>
        <s v="BALAK"/>
        <s v="BLACK NEKLESE"/>
        <s v="24KR OLD GOLD"/>
        <s v="TICKLY"/>
        <s v="KAF"/>
        <s v="GOLD WATCH"/>
        <s v="BELT"/>
        <s v="CHAINTH"/>
        <s v="MG"/>
        <s v="Silver Bangle"/>
        <s v="Nosepin"/>
      </sharedItems>
    </cacheField>
    <cacheField name="karat_name" numFmtId="0">
      <sharedItems containsMixedTypes="1" containsNumber="1" containsInteger="1" minValue="18" maxValue="24" count="5">
        <n v="24"/>
        <n v="22"/>
        <s v="SILVER"/>
        <n v="21"/>
        <n v="18"/>
      </sharedItems>
    </cacheField>
    <cacheField name="total_revenue" numFmtId="0">
      <sharedItems containsSemiMixedTypes="0" containsString="0" containsNumber="1" minValue="1250" maxValue="100069410.099999"/>
    </cacheField>
    <cacheField name="total_weight" numFmtId="0">
      <sharedItems containsSemiMixedTypes="0" containsString="0" containsNumber="1" minValue="3" maxValue="930550.1"/>
    </cacheField>
    <cacheField name="total_making_charge" numFmtId="0">
      <sharedItems containsSemiMixedTypes="0" containsString="0" containsNumber="1" minValue="20.95" maxValue="5714090.1400000397"/>
    </cacheField>
    <cacheField name="avg_making_rate_per_gram" numFmtId="0">
      <sharedItems containsSemiMixedTypes="0" containsString="0" containsNumber="1" minValue="0.73273043599529997" maxValue="435.353090909088"/>
    </cacheField>
    <cacheField name="invoice_count" numFmtId="0">
      <sharedItems containsSemiMixedTypes="0" containsString="0" containsNumber="1" containsInteger="1" minValue="1" maxValue="1483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6">
  <r>
    <x v="0"/>
    <x v="0"/>
    <n v="100069410.099999"/>
    <n v="225556.69200000499"/>
    <n v="2556217.13"/>
    <n v="11.332925249674901"/>
    <n v="8838"/>
  </r>
  <r>
    <x v="1"/>
    <x v="1"/>
    <n v="56476041.530000001"/>
    <n v="130219.649"/>
    <n v="5714090.1400000397"/>
    <n v="43.880398878974297"/>
    <n v="12220"/>
  </r>
  <r>
    <x v="2"/>
    <x v="1"/>
    <n v="36324131.869999997"/>
    <n v="81273.0989999999"/>
    <n v="4445640.8"/>
    <n v="54.700028111392797"/>
    <n v="4369"/>
  </r>
  <r>
    <x v="3"/>
    <x v="1"/>
    <n v="34844081.5"/>
    <n v="80324.889999999898"/>
    <n v="3548541.4200000102"/>
    <n v="44.1773579770854"/>
    <n v="3438"/>
  </r>
  <r>
    <x v="4"/>
    <x v="1"/>
    <n v="29544440.82"/>
    <n v="63348.549999999799"/>
    <n v="4716559.0499999803"/>
    <n v="74.454096423674898"/>
    <n v="14833"/>
  </r>
  <r>
    <x v="5"/>
    <x v="1"/>
    <n v="16962065.009999901"/>
    <n v="35209.794999999598"/>
    <n v="3118791.0800000099"/>
    <n v="88.577371154817598"/>
    <n v="11272"/>
  </r>
  <r>
    <x v="6"/>
    <x v="1"/>
    <n v="10174816"/>
    <n v="22334.3299999999"/>
    <n v="1457005.83"/>
    <n v="65.236155729767106"/>
    <n v="3018"/>
  </r>
  <r>
    <x v="7"/>
    <x v="2"/>
    <n v="10146303.43"/>
    <n v="930550.1"/>
    <n v="819216.49999999895"/>
    <n v="0.88035722095994495"/>
    <n v="656"/>
  </r>
  <r>
    <x v="8"/>
    <x v="2"/>
    <n v="8872214.25"/>
    <n v="754340.69999999902"/>
    <n v="552728.38999999897"/>
    <n v="0.73273043599529997"/>
    <n v="686"/>
  </r>
  <r>
    <x v="9"/>
    <x v="3"/>
    <n v="7950892.2000000002"/>
    <n v="21621.820999999902"/>
    <n v="64462.09"/>
    <n v="2.9813441707800701"/>
    <n v="300"/>
  </r>
  <r>
    <x v="10"/>
    <x v="1"/>
    <n v="7322737.0599999903"/>
    <n v="17747.18"/>
    <n v="265277.2"/>
    <n v="14.947569134927299"/>
    <n v="1608"/>
  </r>
  <r>
    <x v="11"/>
    <x v="1"/>
    <n v="5986062"/>
    <n v="15751.7"/>
    <n v="64360.7"/>
    <n v="4.0859526273354598"/>
    <n v="314"/>
  </r>
  <r>
    <x v="12"/>
    <x v="1"/>
    <n v="3691017.5"/>
    <n v="7777.4300000000103"/>
    <n v="673413.95999999798"/>
    <n v="86.585666473372001"/>
    <n v="2845"/>
  </r>
  <r>
    <x v="13"/>
    <x v="1"/>
    <n v="3510379"/>
    <n v="8114.4"/>
    <n v="368622.94"/>
    <n v="45.428243616286998"/>
    <n v="506"/>
  </r>
  <r>
    <x v="14"/>
    <x v="1"/>
    <n v="2268945.9900000002"/>
    <n v="4507.2299999999996"/>
    <n v="436331.76"/>
    <n v="96.807076630214198"/>
    <n v="1091"/>
  </r>
  <r>
    <x v="15"/>
    <x v="1"/>
    <n v="726753"/>
    <n v="1531.16"/>
    <n v="105338.44999999899"/>
    <n v="68.796500692285505"/>
    <n v="227"/>
  </r>
  <r>
    <x v="2"/>
    <x v="3"/>
    <n v="583020.76999999897"/>
    <n v="1457.5"/>
    <n v="68472.89"/>
    <n v="46.979684391080603"/>
    <n v="134"/>
  </r>
  <r>
    <x v="16"/>
    <x v="1"/>
    <n v="577485"/>
    <n v="1282.96999999999"/>
    <n v="98181.809999999896"/>
    <n v="76.526972571455303"/>
    <n v="84"/>
  </r>
  <r>
    <x v="3"/>
    <x v="3"/>
    <n v="515054"/>
    <n v="1318.6799999999901"/>
    <n v="26938.48"/>
    <n v="20.4283677617011"/>
    <n v="31"/>
  </r>
  <r>
    <x v="17"/>
    <x v="0"/>
    <n v="405365"/>
    <n v="1015.6"/>
    <n v="4321.9799999999996"/>
    <n v="4.2555927530523796"/>
    <n v="16"/>
  </r>
  <r>
    <x v="18"/>
    <x v="1"/>
    <n v="287150"/>
    <n v="620.17999999999995"/>
    <n v="34017.959999999897"/>
    <n v="54.851752716953101"/>
    <n v="81"/>
  </r>
  <r>
    <x v="19"/>
    <x v="1"/>
    <n v="270690"/>
    <n v="573.1"/>
    <n v="35038.35"/>
    <n v="61.138283022160103"/>
    <n v="38"/>
  </r>
  <r>
    <x v="20"/>
    <x v="1"/>
    <n v="200836.99"/>
    <n v="374.73"/>
    <n v="37421.96"/>
    <n v="99.863795265924793"/>
    <n v="19"/>
  </r>
  <r>
    <x v="5"/>
    <x v="3"/>
    <n v="173693.62"/>
    <n v="404.938999999999"/>
    <n v="38588.219999999899"/>
    <n v="95.293908465225599"/>
    <n v="123"/>
  </r>
  <r>
    <x v="21"/>
    <x v="1"/>
    <n v="147451"/>
    <n v="331.79999999999899"/>
    <n v="13837.57"/>
    <n v="41.7045509342977"/>
    <n v="39"/>
  </r>
  <r>
    <x v="4"/>
    <x v="3"/>
    <n v="145294"/>
    <n v="321.44"/>
    <n v="31429.73"/>
    <n v="97.777905674464805"/>
    <n v="124"/>
  </r>
  <r>
    <x v="6"/>
    <x v="3"/>
    <n v="128229.1"/>
    <n v="294.52999999999997"/>
    <n v="21095.089999999898"/>
    <n v="71.622890707228294"/>
    <n v="65"/>
  </r>
  <r>
    <x v="12"/>
    <x v="3"/>
    <n v="89903"/>
    <n v="201.1"/>
    <n v="19516.72"/>
    <n v="97.0498259572352"/>
    <n v="69"/>
  </r>
  <r>
    <x v="14"/>
    <x v="3"/>
    <n v="78778"/>
    <n v="175.21"/>
    <n v="19476.66"/>
    <n v="111.161805833"/>
    <n v="77"/>
  </r>
  <r>
    <x v="22"/>
    <x v="1"/>
    <n v="63835"/>
    <n v="142.18"/>
    <n v="8893.92"/>
    <n v="62.553945702630401"/>
    <n v="20"/>
  </r>
  <r>
    <x v="23"/>
    <x v="1"/>
    <n v="26830"/>
    <n v="48.4299999999999"/>
    <n v="8005.32"/>
    <n v="165.29671691100501"/>
    <n v="41"/>
  </r>
  <r>
    <x v="6"/>
    <x v="4"/>
    <n v="20851.3499999999"/>
    <n v="27.500000000000099"/>
    <n v="11972.21"/>
    <n v="435.353090909088"/>
    <n v="213"/>
  </r>
  <r>
    <x v="5"/>
    <x v="4"/>
    <n v="13566.96"/>
    <n v="25.849999999999898"/>
    <n v="4765.09"/>
    <n v="184.33617021276501"/>
    <n v="26"/>
  </r>
  <r>
    <x v="19"/>
    <x v="3"/>
    <n v="10305"/>
    <n v="23.799999999999901"/>
    <n v="2175.46"/>
    <n v="91.405882352941106"/>
    <n v="7"/>
  </r>
  <r>
    <x v="1"/>
    <x v="3"/>
    <n v="10030"/>
    <n v="20.63"/>
    <n v="2347.04"/>
    <n v="113.76829859428"/>
    <n v="12"/>
  </r>
  <r>
    <x v="24"/>
    <x v="2"/>
    <n v="9832.49"/>
    <n v="767.7"/>
    <n v="4884.1799999999903"/>
    <n v="6.36209456819069"/>
    <n v="12"/>
  </r>
  <r>
    <x v="12"/>
    <x v="4"/>
    <n v="8540"/>
    <n v="16.149999999999999"/>
    <n v="3538.22"/>
    <n v="219.08482972136201"/>
    <n v="17"/>
  </r>
  <r>
    <x v="25"/>
    <x v="1"/>
    <n v="8405"/>
    <n v="9.7999999999999901"/>
    <n v="3718.49999999999"/>
    <n v="379.43877551020398"/>
    <n v="17"/>
  </r>
  <r>
    <x v="10"/>
    <x v="3"/>
    <n v="7905.18"/>
    <n v="20.170000000000002"/>
    <n v="1085.3699999999999"/>
    <n v="53.811105602379698"/>
    <n v="4"/>
  </r>
  <r>
    <x v="1"/>
    <x v="4"/>
    <n v="6290"/>
    <n v="11.83"/>
    <n v="2488.5099999999902"/>
    <n v="210.35587489433601"/>
    <n v="13"/>
  </r>
  <r>
    <x v="14"/>
    <x v="4"/>
    <n v="5775"/>
    <n v="13.85"/>
    <n v="1458.46999999999"/>
    <n v="105.304693140794"/>
    <n v="3"/>
  </r>
  <r>
    <x v="13"/>
    <x v="3"/>
    <n v="5675"/>
    <n v="16.5"/>
    <n v="20.95"/>
    <n v="1.26969696969696"/>
    <n v="1"/>
  </r>
  <r>
    <x v="4"/>
    <x v="4"/>
    <n v="4290"/>
    <n v="9.3799999999999901"/>
    <n v="1448.92"/>
    <n v="154.46908315565"/>
    <n v="6"/>
  </r>
  <r>
    <x v="2"/>
    <x v="4"/>
    <n v="3050"/>
    <n v="9"/>
    <n v="367.37"/>
    <n v="40.8188888888888"/>
    <n v="1"/>
  </r>
  <r>
    <x v="3"/>
    <x v="4"/>
    <n v="2450"/>
    <n v="8.9"/>
    <n v="212.13"/>
    <n v="23.834831460674099"/>
    <n v="1"/>
  </r>
  <r>
    <x v="15"/>
    <x v="3"/>
    <n v="1250"/>
    <n v="3"/>
    <n v="317.48"/>
    <n v="105.826666666666"/>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30" firstHeaderRow="0" firstDataRow="1" firstDataCol="1"/>
  <pivotFields count="7">
    <pivotField axis="axisRow" showAll="0">
      <items count="27">
        <item x="9"/>
        <item x="11"/>
        <item x="17"/>
        <item x="13"/>
        <item x="15"/>
        <item x="3"/>
        <item x="21"/>
        <item x="16"/>
        <item x="1"/>
        <item x="22"/>
        <item x="10"/>
        <item x="4"/>
        <item x="0"/>
        <item x="20"/>
        <item x="19"/>
        <item x="12"/>
        <item x="23"/>
        <item x="2"/>
        <item x="25"/>
        <item x="6"/>
        <item x="5"/>
        <item x="7"/>
        <item x="24"/>
        <item x="8"/>
        <item x="18"/>
        <item x="14"/>
        <item t="default"/>
      </items>
    </pivotField>
    <pivotField showAll="0">
      <items count="6">
        <item x="4"/>
        <item x="3"/>
        <item x="1"/>
        <item x="0"/>
        <item x="2"/>
        <item t="default"/>
      </items>
    </pivotField>
    <pivotField dataField="1" showAll="0"/>
    <pivotField dataField="1" showAll="0"/>
    <pivotField dataField="1" showAll="0"/>
    <pivotField showAll="0"/>
    <pivotField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3">
    <i>
      <x/>
    </i>
    <i i="1">
      <x v="1"/>
    </i>
    <i i="2">
      <x v="2"/>
    </i>
  </colItems>
  <dataFields count="3">
    <dataField name="Sum of total_revenue" fld="2" baseField="0" baseItem="0"/>
    <dataField name="Sum of total_weight" fld="3" baseField="0" baseItem="0"/>
    <dataField name="Sum of total_making_charge" fld="4" baseField="0" baseItem="0"/>
  </dataFields>
  <conditionalFormats count="1">
    <conditionalFormat priority="1">
      <pivotAreas count="1">
        <pivotArea outline="0" fieldPosition="0">
          <references count="1">
            <reference field="4294967294" count="1">
              <x v="0"/>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karat_name" sourceName="karat_name">
  <pivotTables>
    <pivotTable tabId="2" name="PivotTable2"/>
  </pivotTables>
  <data>
    <tabular pivotCacheId="1">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karat_name" cache="Slicer_karat_name" caption="karat_name" rowHeight="241300"/>
</slicers>
</file>

<file path=xl/tables/table1.xml><?xml version="1.0" encoding="utf-8"?>
<table xmlns="http://schemas.openxmlformats.org/spreadsheetml/2006/main" id="1" name="Table1" displayName="Table1" ref="A1:G47" totalsRowShown="0">
  <autoFilter ref="A1:G47"/>
  <tableColumns count="7">
    <tableColumn id="1" name="item_type_name"/>
    <tableColumn id="2" name="karat_name"/>
    <tableColumn id="3" name="total_revenue"/>
    <tableColumn id="4" name="total_weight"/>
    <tableColumn id="5" name="total_making_charge"/>
    <tableColumn id="6" name="avg_making_rate_per_gram"/>
    <tableColumn id="7" name="invoice_count"/>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
  <sheetViews>
    <sheetView workbookViewId="0">
      <selection activeCell="A4" sqref="A4"/>
    </sheetView>
  </sheetViews>
  <sheetFormatPr defaultRowHeight="15" x14ac:dyDescent="0.25"/>
  <sheetData>
    <row r="2" spans="1:1" x14ac:dyDescent="0.25">
      <c r="A2" s="5" t="s">
        <v>88</v>
      </c>
    </row>
    <row r="3" spans="1:1" x14ac:dyDescent="0.25">
      <c r="A3" s="5" t="s">
        <v>89</v>
      </c>
    </row>
    <row r="4" spans="1:1" x14ac:dyDescent="0.25">
      <c r="A4" s="5" t="s">
        <v>90</v>
      </c>
    </row>
  </sheetData>
  <hyperlinks>
    <hyperlink ref="A2" location="prod_karat!A1" display="prod_karat!A1"/>
    <hyperlink ref="A3" location="Pivot!A1" display="Pivot!A1"/>
    <hyperlink ref="A4" location="ABC_analysis!A1" display="ABC_analysis!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0"/>
  <sheetViews>
    <sheetView tabSelected="1" topLeftCell="A9" workbookViewId="0">
      <selection activeCell="A3" sqref="A3:D30"/>
    </sheetView>
  </sheetViews>
  <sheetFormatPr defaultRowHeight="15" x14ac:dyDescent="0.25"/>
  <cols>
    <col min="1" max="1" width="15.140625" bestFit="1" customWidth="1"/>
    <col min="2" max="2" width="20.42578125" bestFit="1" customWidth="1"/>
    <col min="3" max="3" width="19.140625" bestFit="1" customWidth="1"/>
    <col min="4" max="4" width="26.5703125" bestFit="1" customWidth="1"/>
    <col min="5" max="5" width="20.42578125" bestFit="1" customWidth="1"/>
    <col min="6" max="6" width="19.140625" bestFit="1" customWidth="1"/>
    <col min="7" max="7" width="26.5703125" bestFit="1" customWidth="1"/>
    <col min="8" max="8" width="20.42578125" bestFit="1" customWidth="1"/>
    <col min="9" max="9" width="19.140625" bestFit="1" customWidth="1"/>
    <col min="10" max="10" width="26.5703125" bestFit="1" customWidth="1"/>
    <col min="11" max="11" width="20.42578125" bestFit="1" customWidth="1"/>
    <col min="12" max="12" width="19.140625" bestFit="1" customWidth="1"/>
    <col min="13" max="13" width="26.5703125" bestFit="1" customWidth="1"/>
    <col min="14" max="14" width="20.42578125" bestFit="1" customWidth="1"/>
    <col min="15" max="15" width="19.140625" bestFit="1" customWidth="1"/>
    <col min="16" max="16" width="26.5703125" bestFit="1" customWidth="1"/>
    <col min="17" max="17" width="25.5703125" bestFit="1" customWidth="1"/>
    <col min="18" max="18" width="24.140625" bestFit="1" customWidth="1"/>
    <col min="19" max="19" width="31.5703125" bestFit="1" customWidth="1"/>
  </cols>
  <sheetData>
    <row r="3" spans="1:4" x14ac:dyDescent="0.25">
      <c r="A3" s="1" t="s">
        <v>33</v>
      </c>
      <c r="B3" t="s">
        <v>35</v>
      </c>
      <c r="C3" t="s">
        <v>37</v>
      </c>
      <c r="D3" t="s">
        <v>36</v>
      </c>
    </row>
    <row r="4" spans="1:4" x14ac:dyDescent="0.25">
      <c r="A4" s="2" t="s">
        <v>16</v>
      </c>
      <c r="B4" s="3">
        <v>7950892.2000000002</v>
      </c>
      <c r="C4" s="3">
        <v>21621.820999999902</v>
      </c>
      <c r="D4" s="3">
        <v>64462.09</v>
      </c>
    </row>
    <row r="5" spans="1:4" x14ac:dyDescent="0.25">
      <c r="A5" s="2" t="s">
        <v>18</v>
      </c>
      <c r="B5" s="3">
        <v>5986062</v>
      </c>
      <c r="C5" s="3">
        <v>15751.7</v>
      </c>
      <c r="D5" s="3">
        <v>64360.7</v>
      </c>
    </row>
    <row r="6" spans="1:4" x14ac:dyDescent="0.25">
      <c r="A6" s="2" t="s">
        <v>24</v>
      </c>
      <c r="B6" s="3">
        <v>405365</v>
      </c>
      <c r="C6" s="3">
        <v>1015.6</v>
      </c>
      <c r="D6" s="3">
        <v>4321.9799999999996</v>
      </c>
    </row>
    <row r="7" spans="1:4" x14ac:dyDescent="0.25">
      <c r="A7" s="2" t="s">
        <v>20</v>
      </c>
      <c r="B7" s="3">
        <v>3516054</v>
      </c>
      <c r="C7" s="3">
        <v>8130.9</v>
      </c>
      <c r="D7" s="3">
        <v>368643.89</v>
      </c>
    </row>
    <row r="8" spans="1:4" x14ac:dyDescent="0.25">
      <c r="A8" s="2" t="s">
        <v>22</v>
      </c>
      <c r="B8" s="3">
        <v>728003</v>
      </c>
      <c r="C8" s="3">
        <v>1534.16</v>
      </c>
      <c r="D8" s="3">
        <v>105655.92999999899</v>
      </c>
    </row>
    <row r="9" spans="1:4" x14ac:dyDescent="0.25">
      <c r="A9" s="2" t="s">
        <v>10</v>
      </c>
      <c r="B9" s="3">
        <v>35361585.5</v>
      </c>
      <c r="C9" s="3">
        <v>81652.469999999885</v>
      </c>
      <c r="D9" s="3">
        <v>3575692.03000001</v>
      </c>
    </row>
    <row r="10" spans="1:4" x14ac:dyDescent="0.25">
      <c r="A10" s="2" t="s">
        <v>28</v>
      </c>
      <c r="B10" s="3">
        <v>147451</v>
      </c>
      <c r="C10" s="3">
        <v>331.79999999999899</v>
      </c>
      <c r="D10" s="3">
        <v>13837.57</v>
      </c>
    </row>
    <row r="11" spans="1:4" x14ac:dyDescent="0.25">
      <c r="A11" s="2" t="s">
        <v>23</v>
      </c>
      <c r="B11" s="3">
        <v>577485</v>
      </c>
      <c r="C11" s="3">
        <v>1282.96999999999</v>
      </c>
      <c r="D11" s="3">
        <v>98181.809999999896</v>
      </c>
    </row>
    <row r="12" spans="1:4" x14ac:dyDescent="0.25">
      <c r="A12" s="2" t="s">
        <v>8</v>
      </c>
      <c r="B12" s="3">
        <v>56492361.530000001</v>
      </c>
      <c r="C12" s="3">
        <v>130252.10900000001</v>
      </c>
      <c r="D12" s="3">
        <v>5718925.6900000395</v>
      </c>
    </row>
    <row r="13" spans="1:4" x14ac:dyDescent="0.25">
      <c r="A13" s="2" t="s">
        <v>29</v>
      </c>
      <c r="B13" s="3">
        <v>63835</v>
      </c>
      <c r="C13" s="3">
        <v>142.18</v>
      </c>
      <c r="D13" s="3">
        <v>8893.92</v>
      </c>
    </row>
    <row r="14" spans="1:4" x14ac:dyDescent="0.25">
      <c r="A14" s="2" t="s">
        <v>17</v>
      </c>
      <c r="B14" s="3">
        <v>7330642.23999999</v>
      </c>
      <c r="C14" s="3">
        <v>17767.349999999999</v>
      </c>
      <c r="D14" s="3">
        <v>266362.57</v>
      </c>
    </row>
    <row r="15" spans="1:4" x14ac:dyDescent="0.25">
      <c r="A15" s="2" t="s">
        <v>11</v>
      </c>
      <c r="B15" s="3">
        <v>29694024.82</v>
      </c>
      <c r="C15" s="3">
        <v>63679.369999999799</v>
      </c>
      <c r="D15" s="3">
        <v>4749437.6999999806</v>
      </c>
    </row>
    <row r="16" spans="1:4" x14ac:dyDescent="0.25">
      <c r="A16" s="2" t="s">
        <v>7</v>
      </c>
      <c r="B16" s="3">
        <v>100069410.099999</v>
      </c>
      <c r="C16" s="3">
        <v>225556.69200000499</v>
      </c>
      <c r="D16" s="3">
        <v>2556217.13</v>
      </c>
    </row>
    <row r="17" spans="1:4" x14ac:dyDescent="0.25">
      <c r="A17" s="2" t="s">
        <v>27</v>
      </c>
      <c r="B17" s="3">
        <v>200836.99</v>
      </c>
      <c r="C17" s="3">
        <v>374.73</v>
      </c>
      <c r="D17" s="3">
        <v>37421.96</v>
      </c>
    </row>
    <row r="18" spans="1:4" x14ac:dyDescent="0.25">
      <c r="A18" s="2" t="s">
        <v>26</v>
      </c>
      <c r="B18" s="3">
        <v>280995</v>
      </c>
      <c r="C18" s="3">
        <v>596.9</v>
      </c>
      <c r="D18" s="3">
        <v>37213.81</v>
      </c>
    </row>
    <row r="19" spans="1:4" x14ac:dyDescent="0.25">
      <c r="A19" s="2" t="s">
        <v>19</v>
      </c>
      <c r="B19" s="3">
        <v>3789460.5</v>
      </c>
      <c r="C19" s="3">
        <v>7994.6800000000103</v>
      </c>
      <c r="D19" s="3">
        <v>696468.89999999793</v>
      </c>
    </row>
    <row r="20" spans="1:4" x14ac:dyDescent="0.25">
      <c r="A20" s="2" t="s">
        <v>30</v>
      </c>
      <c r="B20" s="3">
        <v>26830</v>
      </c>
      <c r="C20" s="3">
        <v>48.4299999999999</v>
      </c>
      <c r="D20" s="3">
        <v>8005.32</v>
      </c>
    </row>
    <row r="21" spans="1:4" x14ac:dyDescent="0.25">
      <c r="A21" s="2" t="s">
        <v>9</v>
      </c>
      <c r="B21" s="3">
        <v>36910202.639999993</v>
      </c>
      <c r="C21" s="3">
        <v>82739.5989999999</v>
      </c>
      <c r="D21" s="3">
        <v>4514481.0599999996</v>
      </c>
    </row>
    <row r="22" spans="1:4" x14ac:dyDescent="0.25">
      <c r="A22" s="2" t="s">
        <v>32</v>
      </c>
      <c r="B22" s="3">
        <v>8405</v>
      </c>
      <c r="C22" s="3">
        <v>9.7999999999999901</v>
      </c>
      <c r="D22" s="3">
        <v>3718.49999999999</v>
      </c>
    </row>
    <row r="23" spans="1:4" x14ac:dyDescent="0.25">
      <c r="A23" s="2" t="s">
        <v>13</v>
      </c>
      <c r="B23" s="3">
        <v>10323896.449999999</v>
      </c>
      <c r="C23" s="3">
        <v>22656.359999999899</v>
      </c>
      <c r="D23" s="3">
        <v>1490073.13</v>
      </c>
    </row>
    <row r="24" spans="1:4" x14ac:dyDescent="0.25">
      <c r="A24" s="2" t="s">
        <v>12</v>
      </c>
      <c r="B24" s="3">
        <v>17149325.589999903</v>
      </c>
      <c r="C24" s="3">
        <v>35640.583999999595</v>
      </c>
      <c r="D24" s="3">
        <v>3162144.3900000094</v>
      </c>
    </row>
    <row r="25" spans="1:4" x14ac:dyDescent="0.25">
      <c r="A25" s="2" t="s">
        <v>14</v>
      </c>
      <c r="B25" s="3">
        <v>10146303.43</v>
      </c>
      <c r="C25" s="3">
        <v>930550.1</v>
      </c>
      <c r="D25" s="3">
        <v>819216.49999999895</v>
      </c>
    </row>
    <row r="26" spans="1:4" x14ac:dyDescent="0.25">
      <c r="A26" s="2" t="s">
        <v>31</v>
      </c>
      <c r="B26" s="3">
        <v>9832.49</v>
      </c>
      <c r="C26" s="3">
        <v>767.7</v>
      </c>
      <c r="D26" s="3">
        <v>4884.1799999999903</v>
      </c>
    </row>
    <row r="27" spans="1:4" x14ac:dyDescent="0.25">
      <c r="A27" s="2" t="s">
        <v>15</v>
      </c>
      <c r="B27" s="3">
        <v>8872214.25</v>
      </c>
      <c r="C27" s="3">
        <v>754340.69999999902</v>
      </c>
      <c r="D27" s="3">
        <v>552728.38999999897</v>
      </c>
    </row>
    <row r="28" spans="1:4" x14ac:dyDescent="0.25">
      <c r="A28" s="2" t="s">
        <v>25</v>
      </c>
      <c r="B28" s="3">
        <v>287150</v>
      </c>
      <c r="C28" s="3">
        <v>620.17999999999995</v>
      </c>
      <c r="D28" s="3">
        <v>34017.959999999897</v>
      </c>
    </row>
    <row r="29" spans="1:4" x14ac:dyDescent="0.25">
      <c r="A29" s="2" t="s">
        <v>21</v>
      </c>
      <c r="B29" s="3">
        <v>2353498.9900000002</v>
      </c>
      <c r="C29" s="3">
        <v>4696.29</v>
      </c>
      <c r="D29" s="3">
        <v>457266.88999999996</v>
      </c>
    </row>
    <row r="30" spans="1:4" x14ac:dyDescent="0.25">
      <c r="A30" s="2" t="s">
        <v>34</v>
      </c>
      <c r="B30" s="3">
        <v>338682122.7199989</v>
      </c>
      <c r="C30" s="3">
        <v>2409755.1750000031</v>
      </c>
      <c r="D30" s="3">
        <v>29412634.000000034</v>
      </c>
    </row>
  </sheetData>
  <conditionalFormatting pivot="1" sqref="B4:B30">
    <cfRule type="dataBar" priority="1">
      <dataBar>
        <cfvo type="min"/>
        <cfvo type="max"/>
        <color rgb="FFFF555A"/>
      </dataBar>
      <extLst>
        <ext xmlns:x14="http://schemas.microsoft.com/office/spreadsheetml/2009/9/main" uri="{B025F937-C7B1-47D3-B67F-A62EFF666E3E}">
          <x14:id>{630A48A6-9AB2-413B-A622-4017A3DA5B9C}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30A48A6-9AB2-413B-A622-4017A3DA5B9C}">
            <x14:dataBar minLength="0" maxLength="100" border="1" negativeBarBorderColorSameAsPositive="0">
              <x14:cfvo type="autoMin"/>
              <x14:cfvo type="autoMax"/>
              <x14:borderColor rgb="FFFF555A"/>
              <x14:negativeFillColor rgb="FFFF0000"/>
              <x14:negativeBorderColor rgb="FFFF0000"/>
              <x14:axisColor rgb="FF000000"/>
            </x14:dataBar>
          </x14:cfRule>
          <xm:sqref>B4:B30</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2" workbookViewId="0">
      <selection sqref="A1:G47"/>
    </sheetView>
  </sheetViews>
  <sheetFormatPr defaultRowHeight="15" x14ac:dyDescent="0.25"/>
  <cols>
    <col min="1" max="1" width="18.28515625" customWidth="1"/>
    <col min="2" max="2" width="14" customWidth="1"/>
    <col min="3" max="3" width="15.7109375" customWidth="1"/>
    <col min="4" max="4" width="14.42578125" customWidth="1"/>
    <col min="5" max="5" width="21.5703125" customWidth="1"/>
    <col min="6" max="6" width="27.5703125" customWidth="1"/>
    <col min="7" max="7" width="15.5703125" customWidth="1"/>
  </cols>
  <sheetData>
    <row r="1" spans="1:7" x14ac:dyDescent="0.25">
      <c r="A1" t="s">
        <v>0</v>
      </c>
      <c r="B1" t="s">
        <v>1</v>
      </c>
      <c r="C1" t="s">
        <v>2</v>
      </c>
      <c r="D1" t="s">
        <v>3</v>
      </c>
      <c r="E1" t="s">
        <v>4</v>
      </c>
      <c r="F1" t="s">
        <v>5</v>
      </c>
      <c r="G1" t="s">
        <v>6</v>
      </c>
    </row>
    <row r="2" spans="1:7" x14ac:dyDescent="0.25">
      <c r="A2" t="s">
        <v>7</v>
      </c>
      <c r="B2">
        <v>24</v>
      </c>
      <c r="C2">
        <v>100069410.099999</v>
      </c>
      <c r="D2">
        <v>225556.69200000499</v>
      </c>
      <c r="E2">
        <v>2556217.13</v>
      </c>
      <c r="F2">
        <v>11.332925249674901</v>
      </c>
      <c r="G2">
        <v>8838</v>
      </c>
    </row>
    <row r="3" spans="1:7" x14ac:dyDescent="0.25">
      <c r="A3" t="s">
        <v>8</v>
      </c>
      <c r="B3">
        <v>22</v>
      </c>
      <c r="C3">
        <v>56476041.530000001</v>
      </c>
      <c r="D3">
        <v>130219.649</v>
      </c>
      <c r="E3">
        <v>5714090.1400000397</v>
      </c>
      <c r="F3">
        <v>43.880398878974297</v>
      </c>
      <c r="G3">
        <v>12220</v>
      </c>
    </row>
    <row r="4" spans="1:7" x14ac:dyDescent="0.25">
      <c r="A4" t="s">
        <v>9</v>
      </c>
      <c r="B4">
        <v>22</v>
      </c>
      <c r="C4">
        <v>36324131.869999997</v>
      </c>
      <c r="D4">
        <v>81273.0989999999</v>
      </c>
      <c r="E4">
        <v>4445640.8</v>
      </c>
      <c r="F4">
        <v>54.700028111392797</v>
      </c>
      <c r="G4">
        <v>4369</v>
      </c>
    </row>
    <row r="5" spans="1:7" x14ac:dyDescent="0.25">
      <c r="A5" t="s">
        <v>10</v>
      </c>
      <c r="B5">
        <v>22</v>
      </c>
      <c r="C5">
        <v>34844081.5</v>
      </c>
      <c r="D5">
        <v>80324.889999999898</v>
      </c>
      <c r="E5">
        <v>3548541.4200000102</v>
      </c>
      <c r="F5">
        <v>44.1773579770854</v>
      </c>
      <c r="G5">
        <v>3438</v>
      </c>
    </row>
    <row r="6" spans="1:7" x14ac:dyDescent="0.25">
      <c r="A6" t="s">
        <v>11</v>
      </c>
      <c r="B6">
        <v>22</v>
      </c>
      <c r="C6">
        <v>29544440.82</v>
      </c>
      <c r="D6">
        <v>63348.549999999799</v>
      </c>
      <c r="E6">
        <v>4716559.0499999803</v>
      </c>
      <c r="F6">
        <v>74.454096423674898</v>
      </c>
      <c r="G6">
        <v>14833</v>
      </c>
    </row>
    <row r="7" spans="1:7" x14ac:dyDescent="0.25">
      <c r="A7" t="s">
        <v>12</v>
      </c>
      <c r="B7">
        <v>22</v>
      </c>
      <c r="C7">
        <v>16962065.009999901</v>
      </c>
      <c r="D7">
        <v>35209.794999999598</v>
      </c>
      <c r="E7">
        <v>3118791.0800000099</v>
      </c>
      <c r="F7">
        <v>88.577371154817598</v>
      </c>
      <c r="G7">
        <v>11272</v>
      </c>
    </row>
    <row r="8" spans="1:7" x14ac:dyDescent="0.25">
      <c r="A8" t="s">
        <v>13</v>
      </c>
      <c r="B8">
        <v>22</v>
      </c>
      <c r="C8">
        <v>10174816</v>
      </c>
      <c r="D8">
        <v>22334.3299999999</v>
      </c>
      <c r="E8">
        <v>1457005.83</v>
      </c>
      <c r="F8">
        <v>65.236155729767106</v>
      </c>
      <c r="G8">
        <v>3018</v>
      </c>
    </row>
    <row r="9" spans="1:7" x14ac:dyDescent="0.25">
      <c r="A9" t="s">
        <v>14</v>
      </c>
      <c r="B9" t="s">
        <v>14</v>
      </c>
      <c r="C9">
        <v>10146303.43</v>
      </c>
      <c r="D9">
        <v>930550.1</v>
      </c>
      <c r="E9">
        <v>819216.49999999895</v>
      </c>
      <c r="F9">
        <v>0.88035722095994495</v>
      </c>
      <c r="G9">
        <v>656</v>
      </c>
    </row>
    <row r="10" spans="1:7" x14ac:dyDescent="0.25">
      <c r="A10" t="s">
        <v>15</v>
      </c>
      <c r="B10" t="s">
        <v>14</v>
      </c>
      <c r="C10">
        <v>8872214.25</v>
      </c>
      <c r="D10">
        <v>754340.69999999902</v>
      </c>
      <c r="E10">
        <v>552728.38999999897</v>
      </c>
      <c r="F10">
        <v>0.73273043599529997</v>
      </c>
      <c r="G10">
        <v>686</v>
      </c>
    </row>
    <row r="11" spans="1:7" x14ac:dyDescent="0.25">
      <c r="A11" t="s">
        <v>16</v>
      </c>
      <c r="B11">
        <v>21</v>
      </c>
      <c r="C11">
        <v>7950892.2000000002</v>
      </c>
      <c r="D11">
        <v>21621.820999999902</v>
      </c>
      <c r="E11">
        <v>64462.09</v>
      </c>
      <c r="F11">
        <v>2.9813441707800701</v>
      </c>
      <c r="G11">
        <v>300</v>
      </c>
    </row>
    <row r="12" spans="1:7" x14ac:dyDescent="0.25">
      <c r="A12" t="s">
        <v>17</v>
      </c>
      <c r="B12">
        <v>22</v>
      </c>
      <c r="C12">
        <v>7322737.0599999903</v>
      </c>
      <c r="D12">
        <v>17747.18</v>
      </c>
      <c r="E12">
        <v>265277.2</v>
      </c>
      <c r="F12">
        <v>14.947569134927299</v>
      </c>
      <c r="G12">
        <v>1608</v>
      </c>
    </row>
    <row r="13" spans="1:7" x14ac:dyDescent="0.25">
      <c r="A13" t="s">
        <v>18</v>
      </c>
      <c r="B13">
        <v>22</v>
      </c>
      <c r="C13">
        <v>5986062</v>
      </c>
      <c r="D13">
        <v>15751.7</v>
      </c>
      <c r="E13">
        <v>64360.7</v>
      </c>
      <c r="F13">
        <v>4.0859526273354598</v>
      </c>
      <c r="G13">
        <v>314</v>
      </c>
    </row>
    <row r="14" spans="1:7" x14ac:dyDescent="0.25">
      <c r="A14" t="s">
        <v>19</v>
      </c>
      <c r="B14">
        <v>22</v>
      </c>
      <c r="C14">
        <v>3691017.5</v>
      </c>
      <c r="D14">
        <v>7777.4300000000103</v>
      </c>
      <c r="E14">
        <v>673413.95999999798</v>
      </c>
      <c r="F14">
        <v>86.585666473372001</v>
      </c>
      <c r="G14">
        <v>2845</v>
      </c>
    </row>
    <row r="15" spans="1:7" x14ac:dyDescent="0.25">
      <c r="A15" t="s">
        <v>20</v>
      </c>
      <c r="B15">
        <v>22</v>
      </c>
      <c r="C15">
        <v>3510379</v>
      </c>
      <c r="D15">
        <v>8114.4</v>
      </c>
      <c r="E15">
        <v>368622.94</v>
      </c>
      <c r="F15">
        <v>45.428243616286998</v>
      </c>
      <c r="G15">
        <v>506</v>
      </c>
    </row>
    <row r="16" spans="1:7" x14ac:dyDescent="0.25">
      <c r="A16" t="s">
        <v>21</v>
      </c>
      <c r="B16">
        <v>22</v>
      </c>
      <c r="C16">
        <v>2268945.9900000002</v>
      </c>
      <c r="D16">
        <v>4507.2299999999996</v>
      </c>
      <c r="E16">
        <v>436331.76</v>
      </c>
      <c r="F16">
        <v>96.807076630214198</v>
      </c>
      <c r="G16">
        <v>1091</v>
      </c>
    </row>
    <row r="17" spans="1:7" x14ac:dyDescent="0.25">
      <c r="A17" t="s">
        <v>22</v>
      </c>
      <c r="B17">
        <v>22</v>
      </c>
      <c r="C17">
        <v>726753</v>
      </c>
      <c r="D17">
        <v>1531.16</v>
      </c>
      <c r="E17">
        <v>105338.44999999899</v>
      </c>
      <c r="F17">
        <v>68.796500692285505</v>
      </c>
      <c r="G17">
        <v>227</v>
      </c>
    </row>
    <row r="18" spans="1:7" x14ac:dyDescent="0.25">
      <c r="A18" t="s">
        <v>9</v>
      </c>
      <c r="B18">
        <v>21</v>
      </c>
      <c r="C18">
        <v>583020.76999999897</v>
      </c>
      <c r="D18">
        <v>1457.5</v>
      </c>
      <c r="E18">
        <v>68472.89</v>
      </c>
      <c r="F18">
        <v>46.979684391080603</v>
      </c>
      <c r="G18">
        <v>134</v>
      </c>
    </row>
    <row r="19" spans="1:7" x14ac:dyDescent="0.25">
      <c r="A19" t="s">
        <v>23</v>
      </c>
      <c r="B19">
        <v>22</v>
      </c>
      <c r="C19">
        <v>577485</v>
      </c>
      <c r="D19">
        <v>1282.96999999999</v>
      </c>
      <c r="E19">
        <v>98181.809999999896</v>
      </c>
      <c r="F19">
        <v>76.526972571455303</v>
      </c>
      <c r="G19">
        <v>84</v>
      </c>
    </row>
    <row r="20" spans="1:7" x14ac:dyDescent="0.25">
      <c r="A20" t="s">
        <v>10</v>
      </c>
      <c r="B20">
        <v>21</v>
      </c>
      <c r="C20">
        <v>515054</v>
      </c>
      <c r="D20">
        <v>1318.6799999999901</v>
      </c>
      <c r="E20">
        <v>26938.48</v>
      </c>
      <c r="F20">
        <v>20.4283677617011</v>
      </c>
      <c r="G20">
        <v>31</v>
      </c>
    </row>
    <row r="21" spans="1:7" x14ac:dyDescent="0.25">
      <c r="A21" t="s">
        <v>24</v>
      </c>
      <c r="B21">
        <v>24</v>
      </c>
      <c r="C21">
        <v>405365</v>
      </c>
      <c r="D21">
        <v>1015.6</v>
      </c>
      <c r="E21">
        <v>4321.9799999999996</v>
      </c>
      <c r="F21">
        <v>4.2555927530523796</v>
      </c>
      <c r="G21">
        <v>16</v>
      </c>
    </row>
    <row r="22" spans="1:7" x14ac:dyDescent="0.25">
      <c r="A22" t="s">
        <v>25</v>
      </c>
      <c r="B22">
        <v>22</v>
      </c>
      <c r="C22">
        <v>287150</v>
      </c>
      <c r="D22">
        <v>620.17999999999995</v>
      </c>
      <c r="E22">
        <v>34017.959999999897</v>
      </c>
      <c r="F22">
        <v>54.851752716953101</v>
      </c>
      <c r="G22">
        <v>81</v>
      </c>
    </row>
    <row r="23" spans="1:7" x14ac:dyDescent="0.25">
      <c r="A23" t="s">
        <v>26</v>
      </c>
      <c r="B23">
        <v>22</v>
      </c>
      <c r="C23">
        <v>270690</v>
      </c>
      <c r="D23">
        <v>573.1</v>
      </c>
      <c r="E23">
        <v>35038.35</v>
      </c>
      <c r="F23">
        <v>61.138283022160103</v>
      </c>
      <c r="G23">
        <v>38</v>
      </c>
    </row>
    <row r="24" spans="1:7" x14ac:dyDescent="0.25">
      <c r="A24" t="s">
        <v>27</v>
      </c>
      <c r="B24">
        <v>22</v>
      </c>
      <c r="C24">
        <v>200836.99</v>
      </c>
      <c r="D24">
        <v>374.73</v>
      </c>
      <c r="E24">
        <v>37421.96</v>
      </c>
      <c r="F24">
        <v>99.863795265924793</v>
      </c>
      <c r="G24">
        <v>19</v>
      </c>
    </row>
    <row r="25" spans="1:7" x14ac:dyDescent="0.25">
      <c r="A25" t="s">
        <v>12</v>
      </c>
      <c r="B25">
        <v>21</v>
      </c>
      <c r="C25">
        <v>173693.62</v>
      </c>
      <c r="D25">
        <v>404.938999999999</v>
      </c>
      <c r="E25">
        <v>38588.219999999899</v>
      </c>
      <c r="F25">
        <v>95.293908465225599</v>
      </c>
      <c r="G25">
        <v>123</v>
      </c>
    </row>
    <row r="26" spans="1:7" x14ac:dyDescent="0.25">
      <c r="A26" t="s">
        <v>28</v>
      </c>
      <c r="B26">
        <v>22</v>
      </c>
      <c r="C26">
        <v>147451</v>
      </c>
      <c r="D26">
        <v>331.79999999999899</v>
      </c>
      <c r="E26">
        <v>13837.57</v>
      </c>
      <c r="F26">
        <v>41.7045509342977</v>
      </c>
      <c r="G26">
        <v>39</v>
      </c>
    </row>
    <row r="27" spans="1:7" x14ac:dyDescent="0.25">
      <c r="A27" t="s">
        <v>11</v>
      </c>
      <c r="B27">
        <v>21</v>
      </c>
      <c r="C27">
        <v>145294</v>
      </c>
      <c r="D27">
        <v>321.44</v>
      </c>
      <c r="E27">
        <v>31429.73</v>
      </c>
      <c r="F27">
        <v>97.777905674464805</v>
      </c>
      <c r="G27">
        <v>124</v>
      </c>
    </row>
    <row r="28" spans="1:7" x14ac:dyDescent="0.25">
      <c r="A28" t="s">
        <v>13</v>
      </c>
      <c r="B28">
        <v>21</v>
      </c>
      <c r="C28">
        <v>128229.1</v>
      </c>
      <c r="D28">
        <v>294.52999999999997</v>
      </c>
      <c r="E28">
        <v>21095.089999999898</v>
      </c>
      <c r="F28">
        <v>71.622890707228294</v>
      </c>
      <c r="G28">
        <v>65</v>
      </c>
    </row>
    <row r="29" spans="1:7" x14ac:dyDescent="0.25">
      <c r="A29" t="s">
        <v>19</v>
      </c>
      <c r="B29">
        <v>21</v>
      </c>
      <c r="C29">
        <v>89903</v>
      </c>
      <c r="D29">
        <v>201.1</v>
      </c>
      <c r="E29">
        <v>19516.72</v>
      </c>
      <c r="F29">
        <v>97.0498259572352</v>
      </c>
      <c r="G29">
        <v>69</v>
      </c>
    </row>
    <row r="30" spans="1:7" x14ac:dyDescent="0.25">
      <c r="A30" t="s">
        <v>21</v>
      </c>
      <c r="B30">
        <v>21</v>
      </c>
      <c r="C30">
        <v>78778</v>
      </c>
      <c r="D30">
        <v>175.21</v>
      </c>
      <c r="E30">
        <v>19476.66</v>
      </c>
      <c r="F30">
        <v>111.161805833</v>
      </c>
      <c r="G30">
        <v>77</v>
      </c>
    </row>
    <row r="31" spans="1:7" x14ac:dyDescent="0.25">
      <c r="A31" t="s">
        <v>29</v>
      </c>
      <c r="B31">
        <v>22</v>
      </c>
      <c r="C31">
        <v>63835</v>
      </c>
      <c r="D31">
        <v>142.18</v>
      </c>
      <c r="E31">
        <v>8893.92</v>
      </c>
      <c r="F31">
        <v>62.553945702630401</v>
      </c>
      <c r="G31">
        <v>20</v>
      </c>
    </row>
    <row r="32" spans="1:7" x14ac:dyDescent="0.25">
      <c r="A32" t="s">
        <v>30</v>
      </c>
      <c r="B32">
        <v>22</v>
      </c>
      <c r="C32">
        <v>26830</v>
      </c>
      <c r="D32">
        <v>48.4299999999999</v>
      </c>
      <c r="E32">
        <v>8005.32</v>
      </c>
      <c r="F32">
        <v>165.29671691100501</v>
      </c>
      <c r="G32">
        <v>41</v>
      </c>
    </row>
    <row r="33" spans="1:7" x14ac:dyDescent="0.25">
      <c r="A33" t="s">
        <v>13</v>
      </c>
      <c r="B33">
        <v>18</v>
      </c>
      <c r="C33">
        <v>20851.3499999999</v>
      </c>
      <c r="D33">
        <v>27.500000000000099</v>
      </c>
      <c r="E33">
        <v>11972.21</v>
      </c>
      <c r="F33">
        <v>435.353090909088</v>
      </c>
      <c r="G33">
        <v>213</v>
      </c>
    </row>
    <row r="34" spans="1:7" x14ac:dyDescent="0.25">
      <c r="A34" t="s">
        <v>12</v>
      </c>
      <c r="B34">
        <v>18</v>
      </c>
      <c r="C34">
        <v>13566.96</v>
      </c>
      <c r="D34">
        <v>25.849999999999898</v>
      </c>
      <c r="E34">
        <v>4765.09</v>
      </c>
      <c r="F34">
        <v>184.33617021276501</v>
      </c>
      <c r="G34">
        <v>26</v>
      </c>
    </row>
    <row r="35" spans="1:7" x14ac:dyDescent="0.25">
      <c r="A35" t="s">
        <v>26</v>
      </c>
      <c r="B35">
        <v>21</v>
      </c>
      <c r="C35">
        <v>10305</v>
      </c>
      <c r="D35">
        <v>23.799999999999901</v>
      </c>
      <c r="E35">
        <v>2175.46</v>
      </c>
      <c r="F35">
        <v>91.405882352941106</v>
      </c>
      <c r="G35">
        <v>7</v>
      </c>
    </row>
    <row r="36" spans="1:7" x14ac:dyDescent="0.25">
      <c r="A36" t="s">
        <v>8</v>
      </c>
      <c r="B36">
        <v>21</v>
      </c>
      <c r="C36">
        <v>10030</v>
      </c>
      <c r="D36">
        <v>20.63</v>
      </c>
      <c r="E36">
        <v>2347.04</v>
      </c>
      <c r="F36">
        <v>113.76829859428</v>
      </c>
      <c r="G36">
        <v>12</v>
      </c>
    </row>
    <row r="37" spans="1:7" x14ac:dyDescent="0.25">
      <c r="A37" t="s">
        <v>31</v>
      </c>
      <c r="B37" t="s">
        <v>14</v>
      </c>
      <c r="C37">
        <v>9832.49</v>
      </c>
      <c r="D37">
        <v>767.7</v>
      </c>
      <c r="E37">
        <v>4884.1799999999903</v>
      </c>
      <c r="F37">
        <v>6.36209456819069</v>
      </c>
      <c r="G37">
        <v>12</v>
      </c>
    </row>
    <row r="38" spans="1:7" x14ac:dyDescent="0.25">
      <c r="A38" t="s">
        <v>19</v>
      </c>
      <c r="B38">
        <v>18</v>
      </c>
      <c r="C38">
        <v>8540</v>
      </c>
      <c r="D38">
        <v>16.149999999999999</v>
      </c>
      <c r="E38">
        <v>3538.22</v>
      </c>
      <c r="F38">
        <v>219.08482972136201</v>
      </c>
      <c r="G38">
        <v>17</v>
      </c>
    </row>
    <row r="39" spans="1:7" x14ac:dyDescent="0.25">
      <c r="A39" t="s">
        <v>32</v>
      </c>
      <c r="B39">
        <v>22</v>
      </c>
      <c r="C39">
        <v>8405</v>
      </c>
      <c r="D39">
        <v>9.7999999999999901</v>
      </c>
      <c r="E39">
        <v>3718.49999999999</v>
      </c>
      <c r="F39">
        <v>379.43877551020398</v>
      </c>
      <c r="G39">
        <v>17</v>
      </c>
    </row>
    <row r="40" spans="1:7" x14ac:dyDescent="0.25">
      <c r="A40" t="s">
        <v>17</v>
      </c>
      <c r="B40">
        <v>21</v>
      </c>
      <c r="C40">
        <v>7905.18</v>
      </c>
      <c r="D40">
        <v>20.170000000000002</v>
      </c>
      <c r="E40">
        <v>1085.3699999999999</v>
      </c>
      <c r="F40">
        <v>53.811105602379698</v>
      </c>
      <c r="G40">
        <v>4</v>
      </c>
    </row>
    <row r="41" spans="1:7" x14ac:dyDescent="0.25">
      <c r="A41" t="s">
        <v>8</v>
      </c>
      <c r="B41">
        <v>18</v>
      </c>
      <c r="C41">
        <v>6290</v>
      </c>
      <c r="D41">
        <v>11.83</v>
      </c>
      <c r="E41">
        <v>2488.5099999999902</v>
      </c>
      <c r="F41">
        <v>210.35587489433601</v>
      </c>
      <c r="G41">
        <v>13</v>
      </c>
    </row>
    <row r="42" spans="1:7" x14ac:dyDescent="0.25">
      <c r="A42" t="s">
        <v>21</v>
      </c>
      <c r="B42">
        <v>18</v>
      </c>
      <c r="C42">
        <v>5775</v>
      </c>
      <c r="D42">
        <v>13.85</v>
      </c>
      <c r="E42">
        <v>1458.46999999999</v>
      </c>
      <c r="F42">
        <v>105.304693140794</v>
      </c>
      <c r="G42">
        <v>3</v>
      </c>
    </row>
    <row r="43" spans="1:7" x14ac:dyDescent="0.25">
      <c r="A43" t="s">
        <v>20</v>
      </c>
      <c r="B43">
        <v>21</v>
      </c>
      <c r="C43">
        <v>5675</v>
      </c>
      <c r="D43">
        <v>16.5</v>
      </c>
      <c r="E43">
        <v>20.95</v>
      </c>
      <c r="F43">
        <v>1.26969696969696</v>
      </c>
      <c r="G43">
        <v>1</v>
      </c>
    </row>
    <row r="44" spans="1:7" x14ac:dyDescent="0.25">
      <c r="A44" t="s">
        <v>11</v>
      </c>
      <c r="B44">
        <v>18</v>
      </c>
      <c r="C44">
        <v>4290</v>
      </c>
      <c r="D44">
        <v>9.3799999999999901</v>
      </c>
      <c r="E44">
        <v>1448.92</v>
      </c>
      <c r="F44">
        <v>154.46908315565</v>
      </c>
      <c r="G44">
        <v>6</v>
      </c>
    </row>
    <row r="45" spans="1:7" x14ac:dyDescent="0.25">
      <c r="A45" t="s">
        <v>9</v>
      </c>
      <c r="B45">
        <v>18</v>
      </c>
      <c r="C45">
        <v>3050</v>
      </c>
      <c r="D45">
        <v>9</v>
      </c>
      <c r="E45">
        <v>367.37</v>
      </c>
      <c r="F45">
        <v>40.8188888888888</v>
      </c>
      <c r="G45">
        <v>1</v>
      </c>
    </row>
    <row r="46" spans="1:7" x14ac:dyDescent="0.25">
      <c r="A46" t="s">
        <v>10</v>
      </c>
      <c r="B46">
        <v>18</v>
      </c>
      <c r="C46">
        <v>2450</v>
      </c>
      <c r="D46">
        <v>8.9</v>
      </c>
      <c r="E46">
        <v>212.13</v>
      </c>
      <c r="F46">
        <v>23.834831460674099</v>
      </c>
      <c r="G46">
        <v>1</v>
      </c>
    </row>
    <row r="47" spans="1:7" x14ac:dyDescent="0.25">
      <c r="A47" t="s">
        <v>22</v>
      </c>
      <c r="B47">
        <v>21</v>
      </c>
      <c r="C47">
        <v>1250</v>
      </c>
      <c r="D47">
        <v>3</v>
      </c>
      <c r="E47">
        <v>317.48</v>
      </c>
      <c r="F47">
        <v>105.826666666666</v>
      </c>
      <c r="G47">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workbookViewId="0">
      <selection activeCell="G4" sqref="G4"/>
    </sheetView>
  </sheetViews>
  <sheetFormatPr defaultRowHeight="15" x14ac:dyDescent="0.25"/>
  <cols>
    <col min="1" max="1" width="22.42578125" customWidth="1"/>
    <col min="2" max="3" width="14.140625" customWidth="1"/>
    <col min="4" max="4" width="14.7109375" customWidth="1"/>
    <col min="5" max="5" width="15.7109375" customWidth="1"/>
    <col min="7" max="7" width="9.7109375" customWidth="1"/>
  </cols>
  <sheetData>
    <row r="1" spans="1:6" x14ac:dyDescent="0.25">
      <c r="A1" t="s">
        <v>0</v>
      </c>
      <c r="B1" t="s">
        <v>2</v>
      </c>
      <c r="C1" t="s">
        <v>87</v>
      </c>
      <c r="D1" t="s">
        <v>86</v>
      </c>
      <c r="E1" t="s">
        <v>85</v>
      </c>
      <c r="F1" t="s">
        <v>84</v>
      </c>
    </row>
    <row r="2" spans="1:6" x14ac:dyDescent="0.25">
      <c r="A2" t="s">
        <v>7</v>
      </c>
      <c r="B2">
        <v>100069410.09999999</v>
      </c>
      <c r="C2">
        <v>100069410.09999999</v>
      </c>
      <c r="D2">
        <v>344804244.67000002</v>
      </c>
      <c r="E2">
        <v>29.02</v>
      </c>
      <c r="F2" s="4" t="str">
        <f>IF(E2&lt;=80,"A",IF(E2&lt;=95,"B","C"))</f>
        <v>A</v>
      </c>
    </row>
    <row r="3" spans="1:6" x14ac:dyDescent="0.25">
      <c r="A3" t="s">
        <v>8</v>
      </c>
      <c r="B3">
        <v>56492361.529999897</v>
      </c>
      <c r="C3">
        <v>156561771.63</v>
      </c>
      <c r="D3">
        <v>344804244.67000002</v>
      </c>
      <c r="E3">
        <v>45.41</v>
      </c>
      <c r="F3" s="4" t="str">
        <f>IF(E3&lt;=80,"A",IF(E3&lt;=95,"B","C"))</f>
        <v>A</v>
      </c>
    </row>
    <row r="4" spans="1:6" x14ac:dyDescent="0.25">
      <c r="A4" t="s">
        <v>9</v>
      </c>
      <c r="B4">
        <v>36910202.640000001</v>
      </c>
      <c r="C4">
        <v>193471974.269999</v>
      </c>
      <c r="D4">
        <v>344804244.67000002</v>
      </c>
      <c r="E4">
        <v>56.11</v>
      </c>
      <c r="F4" s="4" t="str">
        <f>IF(E4&lt;=80,"A",IF(E4&lt;=95,"B","C"))</f>
        <v>A</v>
      </c>
    </row>
    <row r="5" spans="1:6" x14ac:dyDescent="0.25">
      <c r="A5" t="s">
        <v>10</v>
      </c>
      <c r="B5">
        <v>35361585.5</v>
      </c>
      <c r="C5">
        <v>228833559.769999</v>
      </c>
      <c r="D5">
        <v>344804244.67000002</v>
      </c>
      <c r="E5">
        <v>66.37</v>
      </c>
      <c r="F5" s="4" t="str">
        <f>IF(E5&lt;=80,"A",IF(E5&lt;=95,"B","C"))</f>
        <v>A</v>
      </c>
    </row>
    <row r="6" spans="1:6" x14ac:dyDescent="0.25">
      <c r="A6" t="s">
        <v>11</v>
      </c>
      <c r="B6">
        <v>29694024.82</v>
      </c>
      <c r="C6">
        <v>258527584.58999899</v>
      </c>
      <c r="D6">
        <v>344804244.67000002</v>
      </c>
      <c r="E6">
        <v>74.98</v>
      </c>
      <c r="F6" s="4" t="str">
        <f>IF(E6&lt;=80,"A",IF(E6&lt;=95,"B","C"))</f>
        <v>A</v>
      </c>
    </row>
    <row r="7" spans="1:6" x14ac:dyDescent="0.25">
      <c r="A7" t="s">
        <v>12</v>
      </c>
      <c r="B7">
        <v>17149325.59</v>
      </c>
      <c r="C7">
        <v>275676910.17999899</v>
      </c>
      <c r="D7">
        <v>344804244.67000002</v>
      </c>
      <c r="E7">
        <v>79.95</v>
      </c>
      <c r="F7" s="4" t="str">
        <f>IF(E7&lt;=80,"A",IF(E7&lt;=95,"B","C"))</f>
        <v>A</v>
      </c>
    </row>
    <row r="8" spans="1:6" x14ac:dyDescent="0.25">
      <c r="A8" t="s">
        <v>13</v>
      </c>
      <c r="B8">
        <v>10323896.449999999</v>
      </c>
      <c r="C8">
        <v>286000806.62999898</v>
      </c>
      <c r="D8">
        <v>344804244.67000002</v>
      </c>
      <c r="E8">
        <v>82.95</v>
      </c>
      <c r="F8" s="4" t="str">
        <f>IF(E8&lt;=80,"A",IF(E8&lt;=95,"B","C"))</f>
        <v>B</v>
      </c>
    </row>
    <row r="9" spans="1:6" x14ac:dyDescent="0.25">
      <c r="A9" t="s">
        <v>14</v>
      </c>
      <c r="B9">
        <v>10146303.43</v>
      </c>
      <c r="C9">
        <v>296147110.05999899</v>
      </c>
      <c r="D9">
        <v>344804244.67000002</v>
      </c>
      <c r="E9">
        <v>85.89</v>
      </c>
      <c r="F9" s="4" t="str">
        <f>IF(E9&lt;=80,"A",IF(E9&lt;=95,"B","C"))</f>
        <v>B</v>
      </c>
    </row>
    <row r="10" spans="1:6" x14ac:dyDescent="0.25">
      <c r="A10" t="s">
        <v>15</v>
      </c>
      <c r="B10">
        <v>8872214.2499999907</v>
      </c>
      <c r="C10">
        <v>305019324.30999899</v>
      </c>
      <c r="D10">
        <v>344804244.67000002</v>
      </c>
      <c r="E10">
        <v>88.46</v>
      </c>
      <c r="F10" s="4" t="str">
        <f>IF(E10&lt;=80,"A",IF(E10&lt;=95,"B","C"))</f>
        <v>B</v>
      </c>
    </row>
    <row r="11" spans="1:6" x14ac:dyDescent="0.25">
      <c r="A11" t="s">
        <v>16</v>
      </c>
      <c r="B11">
        <v>7950892.2000000002</v>
      </c>
      <c r="C11">
        <v>312970216.50999898</v>
      </c>
      <c r="D11">
        <v>344804244.67000002</v>
      </c>
      <c r="E11">
        <v>90.77</v>
      </c>
      <c r="F11" s="4" t="str">
        <f>IF(E11&lt;=80,"A",IF(E11&lt;=95,"B","C"))</f>
        <v>B</v>
      </c>
    </row>
    <row r="12" spans="1:6" x14ac:dyDescent="0.25">
      <c r="A12" t="s">
        <v>17</v>
      </c>
      <c r="B12">
        <v>7330642.23999999</v>
      </c>
      <c r="C12">
        <v>320300858.74999899</v>
      </c>
      <c r="D12">
        <v>344804244.67000002</v>
      </c>
      <c r="E12">
        <v>92.89</v>
      </c>
      <c r="F12" s="4" t="str">
        <f>IF(E12&lt;=80,"A",IF(E12&lt;=95,"B","C"))</f>
        <v>B</v>
      </c>
    </row>
    <row r="13" spans="1:6" x14ac:dyDescent="0.25">
      <c r="A13" t="s">
        <v>18</v>
      </c>
      <c r="B13">
        <v>5986062</v>
      </c>
      <c r="C13">
        <v>326286920.74999899</v>
      </c>
      <c r="D13">
        <v>344804244.67000002</v>
      </c>
      <c r="E13">
        <v>94.63</v>
      </c>
      <c r="F13" s="4" t="str">
        <f>IF(E13&lt;=80,"A",IF(E13&lt;=95,"B","C"))</f>
        <v>B</v>
      </c>
    </row>
    <row r="14" spans="1:6" x14ac:dyDescent="0.25">
      <c r="A14" t="s">
        <v>19</v>
      </c>
      <c r="B14">
        <v>3789460.5</v>
      </c>
      <c r="C14">
        <v>330076381.24999899</v>
      </c>
      <c r="D14">
        <v>344804244.67000002</v>
      </c>
      <c r="E14">
        <v>95.73</v>
      </c>
      <c r="F14" s="4" t="str">
        <f>IF(E14&lt;=80,"A",IF(E14&lt;=95,"B","C"))</f>
        <v>C</v>
      </c>
    </row>
    <row r="15" spans="1:6" x14ac:dyDescent="0.25">
      <c r="A15" t="s">
        <v>20</v>
      </c>
      <c r="B15">
        <v>3516054</v>
      </c>
      <c r="C15">
        <v>333592435.24999899</v>
      </c>
      <c r="D15">
        <v>344804244.67000002</v>
      </c>
      <c r="E15">
        <v>96.75</v>
      </c>
      <c r="F15" s="4" t="str">
        <f>IF(E15&lt;=80,"A",IF(E15&lt;=95,"B","C"))</f>
        <v>C</v>
      </c>
    </row>
    <row r="16" spans="1:6" x14ac:dyDescent="0.25">
      <c r="A16" t="s">
        <v>21</v>
      </c>
      <c r="B16">
        <v>2353498.9900000002</v>
      </c>
      <c r="C16">
        <v>335945934.239999</v>
      </c>
      <c r="D16">
        <v>344804244.67000002</v>
      </c>
      <c r="E16">
        <v>97.43</v>
      </c>
      <c r="F16" s="4" t="str">
        <f>IF(E16&lt;=80,"A",IF(E16&lt;=95,"B","C"))</f>
        <v>C</v>
      </c>
    </row>
    <row r="17" spans="1:6" x14ac:dyDescent="0.25">
      <c r="A17" t="s">
        <v>83</v>
      </c>
      <c r="B17">
        <v>2227070</v>
      </c>
      <c r="C17">
        <v>338173004.239999</v>
      </c>
      <c r="D17">
        <v>344804244.67000002</v>
      </c>
      <c r="E17">
        <v>98.08</v>
      </c>
      <c r="F17" s="4" t="str">
        <f>IF(E17&lt;=80,"A",IF(E17&lt;=95,"B","C"))</f>
        <v>C</v>
      </c>
    </row>
    <row r="18" spans="1:6" x14ac:dyDescent="0.25">
      <c r="A18" t="s">
        <v>22</v>
      </c>
      <c r="B18">
        <v>728003</v>
      </c>
      <c r="C18">
        <v>338901007.239999</v>
      </c>
      <c r="D18">
        <v>344804244.67000002</v>
      </c>
      <c r="E18">
        <v>98.29</v>
      </c>
      <c r="F18" s="4" t="str">
        <f>IF(E18&lt;=80,"A",IF(E18&lt;=95,"B","C"))</f>
        <v>C</v>
      </c>
    </row>
    <row r="19" spans="1:6" x14ac:dyDescent="0.25">
      <c r="A19" t="s">
        <v>23</v>
      </c>
      <c r="B19">
        <v>577485</v>
      </c>
      <c r="C19">
        <v>339478492.239999</v>
      </c>
      <c r="D19">
        <v>344804244.67000002</v>
      </c>
      <c r="E19">
        <v>98.46</v>
      </c>
      <c r="F19" s="4" t="str">
        <f>IF(E19&lt;=80,"A",IF(E19&lt;=95,"B","C"))</f>
        <v>C</v>
      </c>
    </row>
    <row r="20" spans="1:6" x14ac:dyDescent="0.25">
      <c r="A20" t="s">
        <v>82</v>
      </c>
      <c r="B20">
        <v>563304.31999999995</v>
      </c>
      <c r="C20">
        <v>340041796.55999899</v>
      </c>
      <c r="D20">
        <v>344804244.67000002</v>
      </c>
      <c r="E20">
        <v>98.62</v>
      </c>
      <c r="F20" s="4" t="str">
        <f>IF(E20&lt;=80,"A",IF(E20&lt;=95,"B","C"))</f>
        <v>C</v>
      </c>
    </row>
    <row r="21" spans="1:6" x14ac:dyDescent="0.25">
      <c r="A21" t="s">
        <v>24</v>
      </c>
      <c r="B21">
        <v>405365</v>
      </c>
      <c r="C21">
        <v>340447161.55999899</v>
      </c>
      <c r="D21">
        <v>344804244.67000002</v>
      </c>
      <c r="E21">
        <v>98.74</v>
      </c>
      <c r="F21" s="4" t="str">
        <f>IF(E21&lt;=80,"A",IF(E21&lt;=95,"B","C"))</f>
        <v>C</v>
      </c>
    </row>
    <row r="22" spans="1:6" x14ac:dyDescent="0.25">
      <c r="A22" t="s">
        <v>25</v>
      </c>
      <c r="B22">
        <v>287150</v>
      </c>
      <c r="C22">
        <v>340734311.55999899</v>
      </c>
      <c r="D22">
        <v>344804244.67000002</v>
      </c>
      <c r="E22">
        <v>98.82</v>
      </c>
      <c r="F22" s="4" t="str">
        <f>IF(E22&lt;=80,"A",IF(E22&lt;=95,"B","C"))</f>
        <v>C</v>
      </c>
    </row>
    <row r="23" spans="1:6" x14ac:dyDescent="0.25">
      <c r="A23" t="s">
        <v>26</v>
      </c>
      <c r="B23">
        <v>280995</v>
      </c>
      <c r="C23">
        <v>341015306.55999899</v>
      </c>
      <c r="D23">
        <v>344804244.67000002</v>
      </c>
      <c r="E23">
        <v>98.9</v>
      </c>
      <c r="F23" s="4" t="str">
        <f>IF(E23&lt;=80,"A",IF(E23&lt;=95,"B","C"))</f>
        <v>C</v>
      </c>
    </row>
    <row r="24" spans="1:6" x14ac:dyDescent="0.25">
      <c r="A24" t="s">
        <v>32</v>
      </c>
      <c r="B24">
        <v>279653.17</v>
      </c>
      <c r="C24">
        <v>341294959.72999901</v>
      </c>
      <c r="D24">
        <v>344804244.67000002</v>
      </c>
      <c r="E24">
        <v>98.98</v>
      </c>
      <c r="F24" s="4" t="str">
        <f>IF(E24&lt;=80,"A",IF(E24&lt;=95,"B","C"))</f>
        <v>C</v>
      </c>
    </row>
    <row r="25" spans="1:6" x14ac:dyDescent="0.25">
      <c r="A25" t="s">
        <v>81</v>
      </c>
      <c r="B25">
        <v>263228</v>
      </c>
      <c r="C25">
        <v>341558187.72999901</v>
      </c>
      <c r="D25">
        <v>344804244.67000002</v>
      </c>
      <c r="E25">
        <v>99.06</v>
      </c>
      <c r="F25" s="4" t="str">
        <f>IF(E25&lt;=80,"A",IF(E25&lt;=95,"B","C"))</f>
        <v>C</v>
      </c>
    </row>
    <row r="26" spans="1:6" x14ac:dyDescent="0.25">
      <c r="A26" t="s">
        <v>80</v>
      </c>
      <c r="B26">
        <v>250007.77</v>
      </c>
      <c r="C26">
        <v>341808195.49999899</v>
      </c>
      <c r="D26">
        <v>344804244.67000002</v>
      </c>
      <c r="E26">
        <v>99.13</v>
      </c>
      <c r="F26" s="4" t="str">
        <f>IF(E26&lt;=80,"A",IF(E26&lt;=95,"B","C"))</f>
        <v>C</v>
      </c>
    </row>
    <row r="27" spans="1:6" x14ac:dyDescent="0.25">
      <c r="A27" t="s">
        <v>79</v>
      </c>
      <c r="B27">
        <v>207950</v>
      </c>
      <c r="C27">
        <v>342016145.49999899</v>
      </c>
      <c r="D27">
        <v>344804244.67000002</v>
      </c>
      <c r="E27">
        <v>99.19</v>
      </c>
      <c r="F27" s="4" t="str">
        <f>IF(E27&lt;=80,"A",IF(E27&lt;=95,"B","C"))</f>
        <v>C</v>
      </c>
    </row>
    <row r="28" spans="1:6" x14ac:dyDescent="0.25">
      <c r="A28" t="s">
        <v>78</v>
      </c>
      <c r="B28">
        <v>202146</v>
      </c>
      <c r="C28">
        <v>342218291.49999899</v>
      </c>
      <c r="D28">
        <v>344804244.67000002</v>
      </c>
      <c r="E28">
        <v>99.25</v>
      </c>
      <c r="F28" s="4" t="str">
        <f>IF(E28&lt;=80,"A",IF(E28&lt;=95,"B","C"))</f>
        <v>C</v>
      </c>
    </row>
    <row r="29" spans="1:6" x14ac:dyDescent="0.25">
      <c r="A29" t="s">
        <v>27</v>
      </c>
      <c r="B29">
        <v>200836.99</v>
      </c>
      <c r="C29">
        <v>342419128.489999</v>
      </c>
      <c r="D29">
        <v>344804244.67000002</v>
      </c>
      <c r="E29">
        <v>99.31</v>
      </c>
      <c r="F29" s="4" t="str">
        <f>IF(E29&lt;=80,"A",IF(E29&lt;=95,"B","C"))</f>
        <v>C</v>
      </c>
    </row>
    <row r="30" spans="1:6" x14ac:dyDescent="0.25">
      <c r="A30" t="s">
        <v>77</v>
      </c>
      <c r="B30">
        <v>153383</v>
      </c>
      <c r="C30">
        <v>342572511.489999</v>
      </c>
      <c r="D30">
        <v>344804244.67000002</v>
      </c>
      <c r="E30">
        <v>99.35</v>
      </c>
      <c r="F30" s="4" t="str">
        <f>IF(E30&lt;=80,"A",IF(E30&lt;=95,"B","C"))</f>
        <v>C</v>
      </c>
    </row>
    <row r="31" spans="1:6" x14ac:dyDescent="0.25">
      <c r="A31" t="s">
        <v>28</v>
      </c>
      <c r="B31">
        <v>147451</v>
      </c>
      <c r="C31">
        <v>342719962.489999</v>
      </c>
      <c r="D31">
        <v>344804244.67000002</v>
      </c>
      <c r="E31">
        <v>99.4</v>
      </c>
      <c r="F31" s="4" t="str">
        <f>IF(E31&lt;=80,"A",IF(E31&lt;=95,"B","C"))</f>
        <v>C</v>
      </c>
    </row>
    <row r="32" spans="1:6" x14ac:dyDescent="0.25">
      <c r="A32" t="s">
        <v>76</v>
      </c>
      <c r="B32">
        <v>115457</v>
      </c>
      <c r="C32">
        <v>342835419.489999</v>
      </c>
      <c r="D32">
        <v>344804244.67000002</v>
      </c>
      <c r="E32">
        <v>99.43</v>
      </c>
      <c r="F32" s="4" t="str">
        <f>IF(E32&lt;=80,"A",IF(E32&lt;=95,"B","C"))</f>
        <v>C</v>
      </c>
    </row>
    <row r="33" spans="1:6" x14ac:dyDescent="0.25">
      <c r="A33" t="s">
        <v>75</v>
      </c>
      <c r="B33">
        <v>102185.60000000001</v>
      </c>
      <c r="C33">
        <v>342937605.08999997</v>
      </c>
      <c r="D33">
        <v>344804244.67000002</v>
      </c>
      <c r="E33">
        <v>99.46</v>
      </c>
      <c r="F33" s="4" t="str">
        <f>IF(E33&lt;=80,"A",IF(E33&lt;=95,"B","C"))</f>
        <v>C</v>
      </c>
    </row>
    <row r="34" spans="1:6" x14ac:dyDescent="0.25">
      <c r="A34" t="s">
        <v>74</v>
      </c>
      <c r="B34">
        <v>101995</v>
      </c>
      <c r="C34">
        <v>343039600.08999997</v>
      </c>
      <c r="D34">
        <v>344804244.67000002</v>
      </c>
      <c r="E34">
        <v>99.49</v>
      </c>
      <c r="F34" s="4" t="str">
        <f>IF(E34&lt;=80,"A",IF(E34&lt;=95,"B","C"))</f>
        <v>C</v>
      </c>
    </row>
    <row r="35" spans="1:6" x14ac:dyDescent="0.25">
      <c r="A35" t="s">
        <v>73</v>
      </c>
      <c r="B35">
        <v>101239</v>
      </c>
      <c r="C35">
        <v>343140839.08999997</v>
      </c>
      <c r="D35">
        <v>344804244.67000002</v>
      </c>
      <c r="E35">
        <v>99.52</v>
      </c>
      <c r="F35" s="4" t="str">
        <f>IF(E35&lt;=80,"A",IF(E35&lt;=95,"B","C"))</f>
        <v>C</v>
      </c>
    </row>
    <row r="36" spans="1:6" x14ac:dyDescent="0.25">
      <c r="A36" t="s">
        <v>72</v>
      </c>
      <c r="B36">
        <v>93334.75</v>
      </c>
      <c r="C36">
        <v>343234173.83999997</v>
      </c>
      <c r="D36">
        <v>344804244.67000002</v>
      </c>
      <c r="E36">
        <v>99.54</v>
      </c>
      <c r="F36" s="4" t="str">
        <f>IF(E36&lt;=80,"A",IF(E36&lt;=95,"B","C"))</f>
        <v>C</v>
      </c>
    </row>
    <row r="37" spans="1:6" x14ac:dyDescent="0.25">
      <c r="A37" t="s">
        <v>71</v>
      </c>
      <c r="B37">
        <v>90335</v>
      </c>
      <c r="C37">
        <v>343324508.83999997</v>
      </c>
      <c r="D37">
        <v>344804244.67000002</v>
      </c>
      <c r="E37">
        <v>99.57</v>
      </c>
      <c r="F37" s="4" t="str">
        <f>IF(E37&lt;=80,"A",IF(E37&lt;=95,"B","C"))</f>
        <v>C</v>
      </c>
    </row>
    <row r="38" spans="1:6" x14ac:dyDescent="0.25">
      <c r="A38" t="s">
        <v>70</v>
      </c>
      <c r="B38">
        <v>85155</v>
      </c>
      <c r="C38">
        <v>343409663.83999997</v>
      </c>
      <c r="D38">
        <v>344804244.67000002</v>
      </c>
      <c r="E38">
        <v>99.6</v>
      </c>
      <c r="F38" s="4" t="str">
        <f>IF(E38&lt;=80,"A",IF(E38&lt;=95,"B","C"))</f>
        <v>C</v>
      </c>
    </row>
    <row r="39" spans="1:6" x14ac:dyDescent="0.25">
      <c r="A39" t="s">
        <v>69</v>
      </c>
      <c r="B39">
        <v>83920.16</v>
      </c>
      <c r="C39">
        <v>343493584</v>
      </c>
      <c r="D39">
        <v>344804244.67000002</v>
      </c>
      <c r="E39">
        <v>99.62</v>
      </c>
      <c r="F39" s="4" t="str">
        <f>IF(E39&lt;=80,"A",IF(E39&lt;=95,"B","C"))</f>
        <v>C</v>
      </c>
    </row>
    <row r="40" spans="1:6" x14ac:dyDescent="0.25">
      <c r="A40" t="s">
        <v>68</v>
      </c>
      <c r="B40">
        <v>83622</v>
      </c>
      <c r="C40">
        <v>343577206</v>
      </c>
      <c r="D40">
        <v>344804244.67000002</v>
      </c>
      <c r="E40">
        <v>99.64</v>
      </c>
      <c r="F40" s="4" t="str">
        <f>IF(E40&lt;=80,"A",IF(E40&lt;=95,"B","C"))</f>
        <v>C</v>
      </c>
    </row>
    <row r="41" spans="1:6" x14ac:dyDescent="0.25">
      <c r="A41" t="s">
        <v>67</v>
      </c>
      <c r="B41">
        <v>79620</v>
      </c>
      <c r="C41">
        <v>343656826</v>
      </c>
      <c r="D41">
        <v>344804244.67000002</v>
      </c>
      <c r="E41">
        <v>99.67</v>
      </c>
      <c r="F41" s="4" t="str">
        <f>IF(E41&lt;=80,"A",IF(E41&lt;=95,"B","C"))</f>
        <v>C</v>
      </c>
    </row>
    <row r="42" spans="1:6" x14ac:dyDescent="0.25">
      <c r="A42" t="s">
        <v>66</v>
      </c>
      <c r="B42">
        <v>78265.81</v>
      </c>
      <c r="C42">
        <v>343735091.81</v>
      </c>
      <c r="D42">
        <v>344804244.67000002</v>
      </c>
      <c r="E42">
        <v>99.69</v>
      </c>
      <c r="F42" s="4" t="str">
        <f>IF(E42&lt;=80,"A",IF(E42&lt;=95,"B","C"))</f>
        <v>C</v>
      </c>
    </row>
    <row r="43" spans="1:6" x14ac:dyDescent="0.25">
      <c r="A43" t="s">
        <v>65</v>
      </c>
      <c r="B43">
        <v>65620</v>
      </c>
      <c r="C43">
        <v>343800711.81</v>
      </c>
      <c r="D43">
        <v>344804244.67000002</v>
      </c>
      <c r="E43">
        <v>99.71</v>
      </c>
      <c r="F43" s="4" t="str">
        <f>IF(E43&lt;=80,"A",IF(E43&lt;=95,"B","C"))</f>
        <v>C</v>
      </c>
    </row>
    <row r="44" spans="1:6" x14ac:dyDescent="0.25">
      <c r="A44" t="s">
        <v>29</v>
      </c>
      <c r="B44">
        <v>63835</v>
      </c>
      <c r="C44">
        <v>343864546.81</v>
      </c>
      <c r="D44">
        <v>344804244.67000002</v>
      </c>
      <c r="E44">
        <v>99.73</v>
      </c>
      <c r="F44" s="4" t="str">
        <f>IF(E44&lt;=80,"A",IF(E44&lt;=95,"B","C"))</f>
        <v>C</v>
      </c>
    </row>
    <row r="45" spans="1:6" x14ac:dyDescent="0.25">
      <c r="A45" t="s">
        <v>64</v>
      </c>
      <c r="B45">
        <v>63470.25</v>
      </c>
      <c r="C45">
        <v>343928017.06</v>
      </c>
      <c r="D45">
        <v>344804244.67000002</v>
      </c>
      <c r="E45">
        <v>99.75</v>
      </c>
      <c r="F45" s="4" t="str">
        <f>IF(E45&lt;=80,"A",IF(E45&lt;=95,"B","C"))</f>
        <v>C</v>
      </c>
    </row>
    <row r="46" spans="1:6" x14ac:dyDescent="0.25">
      <c r="A46" t="s">
        <v>63</v>
      </c>
      <c r="B46">
        <v>62365</v>
      </c>
      <c r="C46">
        <v>343990382.06</v>
      </c>
      <c r="D46">
        <v>344804244.67000002</v>
      </c>
      <c r="E46">
        <v>99.76</v>
      </c>
      <c r="F46" s="4" t="str">
        <f>IF(E46&lt;=80,"A",IF(E46&lt;=95,"B","C"))</f>
        <v>C</v>
      </c>
    </row>
    <row r="47" spans="1:6" x14ac:dyDescent="0.25">
      <c r="A47" t="s">
        <v>62</v>
      </c>
      <c r="B47">
        <v>61209.5</v>
      </c>
      <c r="C47">
        <v>344051591.56</v>
      </c>
      <c r="D47">
        <v>344804244.67000002</v>
      </c>
      <c r="E47">
        <v>99.78</v>
      </c>
      <c r="F47" s="4" t="str">
        <f>IF(E47&lt;=80,"A",IF(E47&lt;=95,"B","C"))</f>
        <v>C</v>
      </c>
    </row>
    <row r="48" spans="1:6" x14ac:dyDescent="0.25">
      <c r="A48" t="s">
        <v>61</v>
      </c>
      <c r="B48">
        <v>60900</v>
      </c>
      <c r="C48">
        <v>344112491.56</v>
      </c>
      <c r="D48">
        <v>344804244.67000002</v>
      </c>
      <c r="E48">
        <v>99.8</v>
      </c>
      <c r="F48" s="4" t="str">
        <f>IF(E48&lt;=80,"A",IF(E48&lt;=95,"B","C"))</f>
        <v>C</v>
      </c>
    </row>
    <row r="49" spans="1:6" x14ac:dyDescent="0.25">
      <c r="A49" t="s">
        <v>60</v>
      </c>
      <c r="B49">
        <v>58560</v>
      </c>
      <c r="C49">
        <v>344171051.56</v>
      </c>
      <c r="D49">
        <v>344804244.67000002</v>
      </c>
      <c r="E49">
        <v>99.82</v>
      </c>
      <c r="F49" s="4" t="str">
        <f>IF(E49&lt;=80,"A",IF(E49&lt;=95,"B","C"))</f>
        <v>C</v>
      </c>
    </row>
    <row r="50" spans="1:6" x14ac:dyDescent="0.25">
      <c r="A50" t="s">
        <v>59</v>
      </c>
      <c r="B50">
        <v>56693.25</v>
      </c>
      <c r="C50">
        <v>344227744.81</v>
      </c>
      <c r="D50">
        <v>344804244.67000002</v>
      </c>
      <c r="E50">
        <v>99.83</v>
      </c>
      <c r="F50" s="4" t="str">
        <f>IF(E50&lt;=80,"A",IF(E50&lt;=95,"B","C"))</f>
        <v>C</v>
      </c>
    </row>
    <row r="51" spans="1:6" x14ac:dyDescent="0.25">
      <c r="A51" t="s">
        <v>58</v>
      </c>
      <c r="B51">
        <v>55580</v>
      </c>
      <c r="C51">
        <v>344283324.81</v>
      </c>
      <c r="D51">
        <v>344804244.67000002</v>
      </c>
      <c r="E51">
        <v>99.85</v>
      </c>
      <c r="F51" s="4" t="str">
        <f>IF(E51&lt;=80,"A",IF(E51&lt;=95,"B","C"))</f>
        <v>C</v>
      </c>
    </row>
    <row r="52" spans="1:6" x14ac:dyDescent="0.25">
      <c r="A52" t="s">
        <v>57</v>
      </c>
      <c r="B52">
        <v>52485</v>
      </c>
      <c r="C52">
        <v>344335809.81</v>
      </c>
      <c r="D52">
        <v>344804244.67000002</v>
      </c>
      <c r="E52">
        <v>99.86</v>
      </c>
      <c r="F52" s="4" t="str">
        <f>IF(E52&lt;=80,"A",IF(E52&lt;=95,"B","C"))</f>
        <v>C</v>
      </c>
    </row>
    <row r="53" spans="1:6" x14ac:dyDescent="0.25">
      <c r="A53" t="s">
        <v>56</v>
      </c>
      <c r="B53">
        <v>51138</v>
      </c>
      <c r="C53">
        <v>344386947.81</v>
      </c>
      <c r="D53">
        <v>344804244.67000002</v>
      </c>
      <c r="E53">
        <v>99.88</v>
      </c>
      <c r="F53" s="4" t="str">
        <f>IF(E53&lt;=80,"A",IF(E53&lt;=95,"B","C"))</f>
        <v>C</v>
      </c>
    </row>
    <row r="54" spans="1:6" x14ac:dyDescent="0.25">
      <c r="A54" t="s">
        <v>55</v>
      </c>
      <c r="B54">
        <v>48198</v>
      </c>
      <c r="C54">
        <v>344435145.81</v>
      </c>
      <c r="D54">
        <v>344804244.67000002</v>
      </c>
      <c r="E54">
        <v>99.89</v>
      </c>
      <c r="F54" s="4" t="str">
        <f>IF(E54&lt;=80,"A",IF(E54&lt;=95,"B","C"))</f>
        <v>C</v>
      </c>
    </row>
    <row r="55" spans="1:6" x14ac:dyDescent="0.25">
      <c r="A55" t="s">
        <v>54</v>
      </c>
      <c r="B55">
        <v>45405</v>
      </c>
      <c r="C55">
        <v>344480550.81</v>
      </c>
      <c r="D55">
        <v>344804244.67000002</v>
      </c>
      <c r="E55">
        <v>99.91</v>
      </c>
      <c r="F55" s="4" t="str">
        <f>IF(E55&lt;=80,"A",IF(E55&lt;=95,"B","C"))</f>
        <v>C</v>
      </c>
    </row>
    <row r="56" spans="1:6" x14ac:dyDescent="0.25">
      <c r="A56" t="s">
        <v>53</v>
      </c>
      <c r="B56">
        <v>44681.95</v>
      </c>
      <c r="C56">
        <v>344525232.75999999</v>
      </c>
      <c r="D56">
        <v>344804244.67000002</v>
      </c>
      <c r="E56">
        <v>99.92</v>
      </c>
      <c r="F56" s="4" t="str">
        <f>IF(E56&lt;=80,"A",IF(E56&lt;=95,"B","C"))</f>
        <v>C</v>
      </c>
    </row>
    <row r="57" spans="1:6" x14ac:dyDescent="0.25">
      <c r="A57" t="s">
        <v>52</v>
      </c>
      <c r="B57">
        <v>42940</v>
      </c>
      <c r="C57">
        <v>344568172.75999999</v>
      </c>
      <c r="D57">
        <v>344804244.67000002</v>
      </c>
      <c r="E57">
        <v>99.93</v>
      </c>
      <c r="F57" s="4" t="str">
        <f>IF(E57&lt;=80,"A",IF(E57&lt;=95,"B","C"))</f>
        <v>C</v>
      </c>
    </row>
    <row r="58" spans="1:6" x14ac:dyDescent="0.25">
      <c r="A58" t="s">
        <v>51</v>
      </c>
      <c r="B58">
        <v>41845</v>
      </c>
      <c r="C58">
        <v>344610017.75999999</v>
      </c>
      <c r="D58">
        <v>344804244.67000002</v>
      </c>
      <c r="E58">
        <v>99.94</v>
      </c>
      <c r="F58" s="4" t="str">
        <f>IF(E58&lt;=80,"A",IF(E58&lt;=95,"B","C"))</f>
        <v>C</v>
      </c>
    </row>
    <row r="59" spans="1:6" x14ac:dyDescent="0.25">
      <c r="A59" t="s">
        <v>50</v>
      </c>
      <c r="B59">
        <v>34805</v>
      </c>
      <c r="C59">
        <v>344644822.75999999</v>
      </c>
      <c r="D59">
        <v>344804244.67000002</v>
      </c>
      <c r="E59">
        <v>99.95</v>
      </c>
      <c r="F59" s="4" t="str">
        <f>IF(E59&lt;=80,"A",IF(E59&lt;=95,"B","C"))</f>
        <v>C</v>
      </c>
    </row>
    <row r="60" spans="1:6" x14ac:dyDescent="0.25">
      <c r="A60" t="s">
        <v>49</v>
      </c>
      <c r="B60">
        <v>31840</v>
      </c>
      <c r="C60">
        <v>344676662.75999999</v>
      </c>
      <c r="D60">
        <v>344804244.67000002</v>
      </c>
      <c r="E60">
        <v>99.96</v>
      </c>
      <c r="F60" s="4" t="str">
        <f>IF(E60&lt;=80,"A",IF(E60&lt;=95,"B","C"))</f>
        <v>C</v>
      </c>
    </row>
    <row r="61" spans="1:6" x14ac:dyDescent="0.25">
      <c r="A61" t="s">
        <v>48</v>
      </c>
      <c r="B61">
        <v>31118.93</v>
      </c>
      <c r="C61">
        <v>344707781.69</v>
      </c>
      <c r="D61">
        <v>344804244.67000002</v>
      </c>
      <c r="E61">
        <v>99.97</v>
      </c>
      <c r="F61" s="4" t="str">
        <f>IF(E61&lt;=80,"A",IF(E61&lt;=95,"B","C"))</f>
        <v>C</v>
      </c>
    </row>
    <row r="62" spans="1:6" x14ac:dyDescent="0.25">
      <c r="A62" t="s">
        <v>30</v>
      </c>
      <c r="B62">
        <v>26830</v>
      </c>
      <c r="C62">
        <v>344734611.69</v>
      </c>
      <c r="D62">
        <v>344804244.67000002</v>
      </c>
      <c r="E62">
        <v>99.98</v>
      </c>
      <c r="F62" s="4" t="str">
        <f>IF(E62&lt;=80,"A",IF(E62&lt;=95,"B","C"))</f>
        <v>C</v>
      </c>
    </row>
    <row r="63" spans="1:6" x14ac:dyDescent="0.25">
      <c r="A63" t="s">
        <v>47</v>
      </c>
      <c r="B63">
        <v>20065</v>
      </c>
      <c r="C63">
        <v>344754676.69</v>
      </c>
      <c r="D63">
        <v>344804244.67000002</v>
      </c>
      <c r="E63">
        <v>99.99</v>
      </c>
      <c r="F63" s="4" t="str">
        <f>IF(E63&lt;=80,"A",IF(E63&lt;=95,"B","C"))</f>
        <v>C</v>
      </c>
    </row>
    <row r="64" spans="1:6" x14ac:dyDescent="0.25">
      <c r="A64">
        <v>1</v>
      </c>
      <c r="B64">
        <v>13735</v>
      </c>
      <c r="C64">
        <v>344768411.69</v>
      </c>
      <c r="D64">
        <v>344804244.67000002</v>
      </c>
      <c r="E64">
        <v>99.99</v>
      </c>
      <c r="F64" s="4" t="str">
        <f>IF(E64&lt;=80,"A",IF(E64&lt;=95,"B","C"))</f>
        <v>C</v>
      </c>
    </row>
    <row r="65" spans="1:6" x14ac:dyDescent="0.25">
      <c r="A65" t="s">
        <v>31</v>
      </c>
      <c r="B65">
        <v>9832.49</v>
      </c>
      <c r="C65">
        <v>344778244.18000001</v>
      </c>
      <c r="D65">
        <v>344804244.67000002</v>
      </c>
      <c r="E65">
        <v>99.99</v>
      </c>
      <c r="F65" s="4" t="str">
        <f>IF(E65&lt;=80,"A",IF(E65&lt;=95,"B","C"))</f>
        <v>C</v>
      </c>
    </row>
    <row r="66" spans="1:6" x14ac:dyDescent="0.25">
      <c r="A66" t="s">
        <v>46</v>
      </c>
      <c r="B66">
        <v>6350</v>
      </c>
      <c r="C66">
        <v>344784594.18000001</v>
      </c>
      <c r="D66">
        <v>344804244.67000002</v>
      </c>
      <c r="E66">
        <v>99.99</v>
      </c>
      <c r="F66" s="4" t="str">
        <f>IF(E66&lt;=80,"A",IF(E66&lt;=95,"B","C"))</f>
        <v>C</v>
      </c>
    </row>
    <row r="67" spans="1:6" x14ac:dyDescent="0.25">
      <c r="A67" t="s">
        <v>45</v>
      </c>
      <c r="B67">
        <v>3930</v>
      </c>
      <c r="C67">
        <v>344788524.18000001</v>
      </c>
      <c r="D67">
        <v>344804244.67000002</v>
      </c>
      <c r="E67">
        <v>100</v>
      </c>
      <c r="F67" s="4" t="str">
        <f>IF(E67&lt;=80,"A",IF(E67&lt;=95,"B","C"))</f>
        <v>C</v>
      </c>
    </row>
    <row r="68" spans="1:6" x14ac:dyDescent="0.25">
      <c r="A68" t="s">
        <v>44</v>
      </c>
      <c r="B68">
        <v>3180</v>
      </c>
      <c r="C68">
        <v>344791704.18000001</v>
      </c>
      <c r="D68">
        <v>344804244.67000002</v>
      </c>
      <c r="E68">
        <v>100</v>
      </c>
      <c r="F68" s="4" t="str">
        <f>IF(E68&lt;=80,"A",IF(E68&lt;=95,"B","C"))</f>
        <v>C</v>
      </c>
    </row>
    <row r="69" spans="1:6" x14ac:dyDescent="0.25">
      <c r="A69" t="s">
        <v>43</v>
      </c>
      <c r="B69">
        <v>3120</v>
      </c>
      <c r="C69">
        <v>344794824.18000001</v>
      </c>
      <c r="D69">
        <v>344804244.67000002</v>
      </c>
      <c r="E69">
        <v>100</v>
      </c>
      <c r="F69" s="4" t="str">
        <f>IF(E69&lt;=80,"A",IF(E69&lt;=95,"B","C"))</f>
        <v>C</v>
      </c>
    </row>
    <row r="70" spans="1:6" x14ac:dyDescent="0.25">
      <c r="A70" t="s">
        <v>42</v>
      </c>
      <c r="B70">
        <v>2670</v>
      </c>
      <c r="C70">
        <v>344797494.18000001</v>
      </c>
      <c r="D70">
        <v>344804244.67000002</v>
      </c>
      <c r="E70">
        <v>100</v>
      </c>
      <c r="F70" s="4" t="str">
        <f>IF(E70&lt;=80,"A",IF(E70&lt;=95,"B","C"))</f>
        <v>C</v>
      </c>
    </row>
    <row r="71" spans="1:6" x14ac:dyDescent="0.25">
      <c r="A71" t="s">
        <v>41</v>
      </c>
      <c r="B71">
        <v>2645</v>
      </c>
      <c r="C71">
        <v>344800139.18000001</v>
      </c>
      <c r="D71">
        <v>344804244.67000002</v>
      </c>
      <c r="E71">
        <v>100</v>
      </c>
      <c r="F71" s="4" t="str">
        <f>IF(E71&lt;=80,"A",IF(E71&lt;=95,"B","C"))</f>
        <v>C</v>
      </c>
    </row>
    <row r="72" spans="1:6" x14ac:dyDescent="0.25">
      <c r="A72" t="s">
        <v>40</v>
      </c>
      <c r="B72">
        <v>1924.99</v>
      </c>
      <c r="C72">
        <v>344802064.17000002</v>
      </c>
      <c r="D72">
        <v>344804244.67000002</v>
      </c>
      <c r="E72">
        <v>100</v>
      </c>
      <c r="F72" s="4" t="str">
        <f>IF(E72&lt;=80,"A",IF(E72&lt;=95,"B","C"))</f>
        <v>C</v>
      </c>
    </row>
    <row r="73" spans="1:6" x14ac:dyDescent="0.25">
      <c r="A73" t="s">
        <v>39</v>
      </c>
      <c r="B73">
        <v>1190</v>
      </c>
      <c r="C73">
        <v>344803254.17000002</v>
      </c>
      <c r="D73">
        <v>344804244.67000002</v>
      </c>
      <c r="E73">
        <v>100</v>
      </c>
      <c r="F73" s="4" t="str">
        <f>IF(E73&lt;=80,"A",IF(E73&lt;=95,"B","C"))</f>
        <v>C</v>
      </c>
    </row>
    <row r="74" spans="1:6" x14ac:dyDescent="0.25">
      <c r="A74" t="s">
        <v>38</v>
      </c>
      <c r="B74">
        <v>990.5</v>
      </c>
      <c r="C74">
        <v>344804244.67000002</v>
      </c>
      <c r="D74">
        <v>344804244.67000002</v>
      </c>
      <c r="E74">
        <v>100</v>
      </c>
      <c r="F74" s="4" t="str">
        <f>IF(E74&lt;=80,"A",IF(E74&lt;=95,"B","C"))</f>
        <v>C</v>
      </c>
    </row>
  </sheetData>
  <conditionalFormatting sqref="F2:F1048576">
    <cfRule type="containsText" dxfId="2" priority="1" operator="containsText" text="c">
      <formula>NOT(ISERROR(SEARCH("c",F2)))</formula>
    </cfRule>
    <cfRule type="containsText" dxfId="1" priority="2" operator="containsText" text="b">
      <formula>NOT(ISERROR(SEARCH("b",F2)))</formula>
    </cfRule>
    <cfRule type="containsText" dxfId="0" priority="3" operator="containsText" text="A">
      <formula>NOT(ISERROR(SEARCH("A",F2)))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of Contents</vt:lpstr>
      <vt:lpstr>Pivot</vt:lpstr>
      <vt:lpstr>prod_karat</vt:lpstr>
      <vt:lpstr>ABC_analysis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Aliya</dc:creator>
  <cp:lastModifiedBy>Aliya</cp:lastModifiedBy>
  <dcterms:created xsi:type="dcterms:W3CDTF">2026-07-17T13:12:38Z</dcterms:created>
  <dcterms:modified xsi:type="dcterms:W3CDTF">2026-07-17T13:12:44Z</dcterms:modified>
</cp:coreProperties>
</file>